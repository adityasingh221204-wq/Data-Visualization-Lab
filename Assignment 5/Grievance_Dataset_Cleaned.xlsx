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_Wise" sheetId="1" state="visible" r:id="rId3"/>
    <sheet name="State_Wise" sheetId="2" state="visible" r:id="rId4"/>
    <sheet name="Read Me" sheetId="3" state="visible" r:id="rId5"/>
  </sheets>
  <definedNames>
    <definedName function="false" hidden="true" localSheetId="0" name="_xlnm._FilterDatabase" vbProcedure="false">Org_Wise!$A$1:$K$91</definedName>
    <definedName function="false" hidden="true" localSheetId="1" name="_xlnm._FilterDatabase" vbProcedure="false">State_Wise!$A$1:$K$38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<sst xmlns="http://schemas.openxmlformats.org/spreadsheetml/2006/main" count="161" uniqueCount="150">
  <si>
    <t xml:space="preserve">OrganizationName</t>
  </si>
  <si>
    <t xml:space="preserve">Received</t>
  </si>
  <si>
    <t xml:space="preserve">Disposed</t>
  </si>
  <si>
    <t xml:space="preserve">PctDisposed</t>
  </si>
  <si>
    <t xml:space="preserve">Pending0_60</t>
  </si>
  <si>
    <t xml:space="preserve">Pending60_180</t>
  </si>
  <si>
    <t xml:space="preserve">Pending180_365</t>
  </si>
  <si>
    <t xml:space="preserve">PendingOver1Yr</t>
  </si>
  <si>
    <t xml:space="preserve">Pending (calc)</t>
  </si>
  <si>
    <t xml:space="preserve">Aged Pending (&gt;60d)</t>
  </si>
  <si>
    <t xml:space="preserve">Aged Share</t>
  </si>
  <si>
    <t xml:space="preserve">Administrative Reforms and Public Grievances - PG Division</t>
  </si>
  <si>
    <t xml:space="preserve">Ayush</t>
  </si>
  <si>
    <t xml:space="preserve">O/o the Comptroller &amp; Auditor General of India</t>
  </si>
  <si>
    <t xml:space="preserve">Central Board of Direct Taxes (Income Tax)</t>
  </si>
  <si>
    <t xml:space="preserve">Central Board of Excise and Customs</t>
  </si>
  <si>
    <t xml:space="preserve">Atomic Energy</t>
  </si>
  <si>
    <t xml:space="preserve">Bio Technology</t>
  </si>
  <si>
    <t xml:space="preserve">Culture</t>
  </si>
  <si>
    <t xml:space="preserve">Corporate Affairs</t>
  </si>
  <si>
    <t xml:space="preserve">Ex Servicemen Welfare</t>
  </si>
  <si>
    <t xml:space="preserve">Defence Production</t>
  </si>
  <si>
    <t xml:space="preserve">Defence Research and Development</t>
  </si>
  <si>
    <t xml:space="preserve">Financial Services (Banking Division)</t>
  </si>
  <si>
    <t xml:space="preserve">Financial Services (Insurance Division)</t>
  </si>
  <si>
    <t xml:space="preserve">Financial Services (Pension Reforms)</t>
  </si>
  <si>
    <t xml:space="preserve">Justice</t>
  </si>
  <si>
    <t xml:space="preserve">Fisheries</t>
  </si>
  <si>
    <t xml:space="preserve">Heavy Industry</t>
  </si>
  <si>
    <t xml:space="preserve">Health &amp; Family Welfare</t>
  </si>
  <si>
    <t xml:space="preserve">Health Research</t>
  </si>
  <si>
    <t xml:space="preserve">Legal Affairs</t>
  </si>
  <si>
    <t xml:space="preserve">Military Affairs</t>
  </si>
  <si>
    <t xml:space="preserve">Agriculture and Farmers Welfare</t>
  </si>
  <si>
    <t xml:space="preserve">Animal Husbandry Dairying</t>
  </si>
  <si>
    <t xml:space="preserve">Agriculture Research and Education</t>
  </si>
  <si>
    <t xml:space="preserve">Consumer Affairs</t>
  </si>
  <si>
    <t xml:space="preserve">Earth Sciences</t>
  </si>
  <si>
    <t xml:space="preserve">Commerce</t>
  </si>
  <si>
    <t xml:space="preserve">Chemicals and Petrochemicals</t>
  </si>
  <si>
    <t xml:space="preserve">Empowerment of Persons with Disabilities</t>
  </si>
  <si>
    <t xml:space="preserve">Investment &amp; Public Asset Management</t>
  </si>
  <si>
    <t xml:space="preserve">Drinking Water and Sanitation</t>
  </si>
  <si>
    <t xml:space="preserve">Economic Affairs</t>
  </si>
  <si>
    <t xml:space="preserve">Expenditure</t>
  </si>
  <si>
    <t xml:space="preserve">Food and Public Distribution</t>
  </si>
  <si>
    <t xml:space="preserve">Food Processing Industries</t>
  </si>
  <si>
    <t xml:space="preserve">Fertilizers</t>
  </si>
  <si>
    <t xml:space="preserve">Promotion of Industry and Internal Trade</t>
  </si>
  <si>
    <t xml:space="preserve">Land Resources</t>
  </si>
  <si>
    <t xml:space="preserve">Development of North Eastern Region</t>
  </si>
  <si>
    <t xml:space="preserve">Personnel and Training</t>
  </si>
  <si>
    <t xml:space="preserve">Rural Development</t>
  </si>
  <si>
    <t xml:space="preserve">Revenue</t>
  </si>
  <si>
    <t xml:space="preserve">Science and Technology</t>
  </si>
  <si>
    <t xml:space="preserve">School Education and Literacy</t>
  </si>
  <si>
    <t xml:space="preserve">Scientific &amp; Industrial Research</t>
  </si>
  <si>
    <t xml:space="preserve">Skill Development and Entrepreneurship</t>
  </si>
  <si>
    <t xml:space="preserve">Telecommunications</t>
  </si>
  <si>
    <t xml:space="preserve">Housing and Urban Affairs</t>
  </si>
  <si>
    <t xml:space="preserve">Women and Child Development</t>
  </si>
  <si>
    <t xml:space="preserve">Pharmaceutical</t>
  </si>
  <si>
    <t xml:space="preserve">NITI Aayog</t>
  </si>
  <si>
    <t xml:space="preserve">Posts</t>
  </si>
  <si>
    <t xml:space="preserve">Public Enterprises</t>
  </si>
  <si>
    <t xml:space="preserve">Higher Education</t>
  </si>
  <si>
    <t xml:space="preserve">Space</t>
  </si>
  <si>
    <t xml:space="preserve">Sports</t>
  </si>
  <si>
    <t xml:space="preserve">Tourism</t>
  </si>
  <si>
    <t xml:space="preserve">Defence Finance</t>
  </si>
  <si>
    <t xml:space="preserve">Official Language</t>
  </si>
  <si>
    <t xml:space="preserve">Legislative Department</t>
  </si>
  <si>
    <t xml:space="preserve">Coal</t>
  </si>
  <si>
    <t xml:space="preserve">External Affairs</t>
  </si>
  <si>
    <t xml:space="preserve">Home Affairs</t>
  </si>
  <si>
    <t xml:space="preserve">Electronics &amp; Information Technology</t>
  </si>
  <si>
    <t xml:space="preserve">Parliamentary Affairs</t>
  </si>
  <si>
    <t xml:space="preserve">Water Resources River Development &amp; Ganga Rejuvenation</t>
  </si>
  <si>
    <t xml:space="preserve">Mines</t>
  </si>
  <si>
    <t xml:space="preserve">Micro Small and Medium Enterprises</t>
  </si>
  <si>
    <t xml:space="preserve">Civil Aviation</t>
  </si>
  <si>
    <t xml:space="preserve">Cooperation</t>
  </si>
  <si>
    <t xml:space="preserve">Defence</t>
  </si>
  <si>
    <t xml:space="preserve">Environment Forest and Climate Change</t>
  </si>
  <si>
    <t xml:space="preserve">Information and Broadcasting</t>
  </si>
  <si>
    <t xml:space="preserve">Labour and Employment</t>
  </si>
  <si>
    <t xml:space="preserve">Minority Affairs</t>
  </si>
  <si>
    <t xml:space="preserve">New and Renewable Energy</t>
  </si>
  <si>
    <t xml:space="preserve">Panchayati Raj</t>
  </si>
  <si>
    <t xml:space="preserve">Railways (Railway Board)</t>
  </si>
  <si>
    <t xml:space="preserve">Road Transport and Highways</t>
  </si>
  <si>
    <t xml:space="preserve">Social Justice and Empowerment</t>
  </si>
  <si>
    <t xml:space="preserve">Statistics and Programme Implementation</t>
  </si>
  <si>
    <t xml:space="preserve">Steel</t>
  </si>
  <si>
    <t xml:space="preserve">Youth Affairs</t>
  </si>
  <si>
    <t xml:space="preserve">Petroleum and Natural Gas</t>
  </si>
  <si>
    <t xml:space="preserve">Power</t>
  </si>
  <si>
    <t xml:space="preserve">Shipping</t>
  </si>
  <si>
    <t xml:space="preserve">Tribal Affairs</t>
  </si>
  <si>
    <t xml:space="preserve">Textiles</t>
  </si>
  <si>
    <t xml:space="preserve">Unique Identification Authority of India</t>
  </si>
  <si>
    <t xml:space="preserve">TOTAL</t>
  </si>
  <si>
    <t xml:space="preserve">StateUT</t>
  </si>
  <si>
    <t xml:space="preserve">Delhi</t>
  </si>
  <si>
    <t xml:space="preserve">Andaman &amp; Nicobar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</si>
  <si>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</si>
  <si>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</si>
  <si>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</si>
  <si>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</si>
  <si>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</si>
  <si>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</si>
  <si>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Dadra &amp; Nagar Haveli</t>
  </si>
  <si>
    <t xml:space="preserve">Daman &amp; Diu</t>
  </si>
  <si>
    <t xml:space="preserve">Gujarat</t>
  </si>
  <si>
    <t xml:space="preserve">Goa</t>
  </si>
  <si>
    <t xml:space="preserve">Himachal Pradesh</t>
  </si>
  <si>
    <t xml:space="preserve">Haryana</t>
  </si>
  <si>
    <t xml:space="preserve">Jharkhand</t>
  </si>
  <si>
    <t xml:space="preserve">Jammu and Kashmir</t>
  </si>
  <si>
    <t xml:space="preserve">Kerala</t>
  </si>
  <si>
    <t xml:space="preserve">Karnataka</t>
  </si>
  <si>
    <t xml:space="preserve">Lakshadweep</t>
  </si>
  <si>
    <t xml:space="preserve">Ladakh</t>
  </si>
  <si>
    <t xml:space="preserve">Meghalaya</t>
  </si>
  <si>
    <t xml:space="preserve">Maharashtra</t>
  </si>
  <si>
    <t xml:space="preserve">Manipur</t>
  </si>
  <si>
    <t xml:space="preserve">Madhya Pradesh</t>
  </si>
  <si>
    <t xml:space="preserve">Mizoram</t>
  </si>
  <si>
    <t xml:space="preserve">Nagaland</t>
  </si>
  <si>
    <t xml:space="preserve">Odisha</t>
  </si>
  <si>
    <t xml:space="preserve">Punjab</t>
  </si>
  <si>
    <t xml:space="preserve">Puducherry</t>
  </si>
  <si>
    <t xml:space="preserve">Rajasthan</t>
  </si>
  <si>
    <t xml:space="preserve">Sikkim</t>
  </si>
  <si>
    <t xml:space="preserve">Telangana</t>
  </si>
  <si>
    <t xml:space="preserve">Tamil Nadu</t>
  </si>
  <si>
    <t xml:space="preserve">Tripura</t>
  </si>
  <si>
    <t xml:space="preserve">Uttarakhand</t>
  </si>
  <si>
    <t xml:space="preserve">Uttar Pradesh</t>
  </si>
  <si>
    <t xml:space="preserve">West Bengal</t>
  </si>
  <si>
    <t xml:space="preserve">Grievance_Dataset_pgportal — cleaned for Power BI import</t>
  </si>
  <si>
    <t xml:space="preserve">Cleaning already applied in this file:</t>
  </si>
  <si>
    <t xml:space="preserve">  - Org_Wise: trimmed names; fixed 'Rejuvenuation' -&gt; 'Rejuvenation'</t>
  </si>
  <si>
    <t xml:space="preserve">  - State_Wise: removed 'Union Territory of ' prefix; 'NCT of Delhi' -&gt; 'Delhi'; 'Chattisgarh' -&gt; 'Chhattisgarh'</t>
  </si>
  <si>
    <t xml:space="preserve">Added helper columns (formulas, not hardcoded):</t>
  </si>
  <si>
    <t xml:space="preserve">  - Pending (calc) = Received - Disposed</t>
  </si>
  <si>
    <t xml:space="preserve">  - Aged Pending (&gt;60d) = Pending60_180 + Pending180_365 + PendingOver1Yr</t>
  </si>
  <si>
    <t xml:space="preserve">  - Aged Share = Aged Pending (&gt;60d) / Pending (calc)</t>
  </si>
  <si>
    <t xml:space="preserve">Import into Power BI: Home -&gt; Get Data -&gt; Excel workbook -&gt; select this file -&gt; tick Org_Wise and State_Wise -&gt; Transform Data.</t>
  </si>
  <si>
    <t xml:space="preserve">Follow the build guide document for cleaning steps, DAX measures, and the exact visuals to add.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</si>
</sst>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1"/>
    <col collapsed="false" customWidth="true" hidden="false" outlineLevel="0" max="5" min="4" style="0" width="12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1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7607</v>
      </c>
      <c r="C2" s="3" t="n">
        <v>7549</v>
      </c>
      <c r="D2" s="4" t="n">
        <v>99.24</v>
      </c>
      <c r="E2" s="3" t="n">
        <v>58</v>
      </c>
      <c r="F2" s="3" t="n">
        <v>0</v>
      </c>
      <c r="G2" s="3" t="n">
        <v>0</v>
      </c>
      <c r="H2" s="3" t="n">
        <v>0</v>
      </c>
      <c r="I2" s="3" t="n">
        <f aca="false">B2-C2</f>
        <v>58</v>
      </c>
      <c r="J2" s="3" t="n">
        <f aca="false">F2+G2+H2</f>
        <v>0</v>
      </c>
      <c r="K2" s="5" t="n">
        <f aca="false">IFERROR(J2/I2,0)</f>
        <v>0</v>
      </c>
    </row>
    <row r="3" customFormat="false" ht="15" hidden="false" customHeight="false" outlineLevel="0" collapsed="false">
      <c r="A3" s="2" t="s">
        <v>12</v>
      </c>
      <c r="B3" s="3" t="n">
        <v>2652</v>
      </c>
      <c r="C3" s="3" t="n">
        <v>2597</v>
      </c>
      <c r="D3" s="4" t="n">
        <v>97.93</v>
      </c>
      <c r="E3" s="3" t="n">
        <v>54</v>
      </c>
      <c r="F3" s="3" t="n">
        <v>1</v>
      </c>
      <c r="G3" s="3" t="n">
        <v>0</v>
      </c>
      <c r="H3" s="3" t="n">
        <v>0</v>
      </c>
      <c r="I3" s="3" t="n">
        <f aca="false">B3-C3</f>
        <v>55</v>
      </c>
      <c r="J3" s="3" t="n">
        <f aca="false">F3+G3+H3</f>
        <v>1</v>
      </c>
      <c r="K3" s="5" t="n">
        <f aca="false">IFERROR(J3/I3,0)</f>
        <v>0.0181818181818182</v>
      </c>
    </row>
    <row r="4" customFormat="false" ht="15" hidden="false" customHeight="false" outlineLevel="0" collapsed="false">
      <c r="A4" s="2" t="s">
        <v>13</v>
      </c>
      <c r="B4" s="3" t="n">
        <v>1790</v>
      </c>
      <c r="C4" s="3" t="n">
        <v>1711</v>
      </c>
      <c r="D4" s="4" t="n">
        <v>95.59</v>
      </c>
      <c r="E4" s="3" t="n">
        <v>71</v>
      </c>
      <c r="F4" s="3" t="n">
        <v>6</v>
      </c>
      <c r="G4" s="3" t="n">
        <v>2</v>
      </c>
      <c r="H4" s="3" t="n">
        <v>0</v>
      </c>
      <c r="I4" s="3" t="n">
        <f aca="false">B4-C4</f>
        <v>79</v>
      </c>
      <c r="J4" s="3" t="n">
        <f aca="false">F4+G4+H4</f>
        <v>8</v>
      </c>
      <c r="K4" s="5" t="n">
        <f aca="false">IFERROR(J4/I4,0)</f>
        <v>0.10126582278481</v>
      </c>
    </row>
    <row r="5" customFormat="false" ht="15" hidden="false" customHeight="false" outlineLevel="0" collapsed="false">
      <c r="A5" s="2" t="s">
        <v>14</v>
      </c>
      <c r="B5" s="3" t="n">
        <v>54480</v>
      </c>
      <c r="C5" s="3" t="n">
        <v>50330</v>
      </c>
      <c r="D5" s="4" t="n">
        <v>92.38</v>
      </c>
      <c r="E5" s="3" t="n">
        <v>3201</v>
      </c>
      <c r="F5" s="3" t="n">
        <v>808</v>
      </c>
      <c r="G5" s="3" t="n">
        <v>141</v>
      </c>
      <c r="H5" s="3" t="n">
        <v>0</v>
      </c>
      <c r="I5" s="3" t="n">
        <f aca="false">B5-C5</f>
        <v>4150</v>
      </c>
      <c r="J5" s="3" t="n">
        <f aca="false">F5+G5+H5</f>
        <v>949</v>
      </c>
      <c r="K5" s="5" t="n">
        <f aca="false">IFERROR(J5/I5,0)</f>
        <v>0.228674698795181</v>
      </c>
    </row>
    <row r="6" customFormat="false" ht="15" hidden="false" customHeight="false" outlineLevel="0" collapsed="false">
      <c r="A6" s="2" t="s">
        <v>15</v>
      </c>
      <c r="B6" s="3" t="n">
        <v>11988</v>
      </c>
      <c r="C6" s="3" t="n">
        <v>11682</v>
      </c>
      <c r="D6" s="4" t="n">
        <v>97.45</v>
      </c>
      <c r="E6" s="3" t="n">
        <v>306</v>
      </c>
      <c r="F6" s="3" t="n">
        <v>0</v>
      </c>
      <c r="G6" s="3" t="n">
        <v>0</v>
      </c>
      <c r="H6" s="3" t="n">
        <v>0</v>
      </c>
      <c r="I6" s="3" t="n">
        <f aca="false">B6-C6</f>
        <v>306</v>
      </c>
      <c r="J6" s="3" t="n">
        <f aca="false">F6+G6+H6</f>
        <v>0</v>
      </c>
      <c r="K6" s="5" t="n">
        <f aca="false">IFERROR(J6/I6,0)</f>
        <v>0</v>
      </c>
    </row>
    <row r="7" customFormat="false" ht="15" hidden="false" customHeight="false" outlineLevel="0" collapsed="false">
      <c r="A7" s="2" t="s">
        <v>16</v>
      </c>
      <c r="B7" s="3" t="n">
        <v>1371</v>
      </c>
      <c r="C7" s="3" t="n">
        <v>1297</v>
      </c>
      <c r="D7" s="4" t="n">
        <v>94.6</v>
      </c>
      <c r="E7" s="3" t="n">
        <v>74</v>
      </c>
      <c r="F7" s="3" t="n">
        <v>0</v>
      </c>
      <c r="G7" s="3" t="n">
        <v>0</v>
      </c>
      <c r="H7" s="3" t="n">
        <v>0</v>
      </c>
      <c r="I7" s="3" t="n">
        <f aca="false">B7-C7</f>
        <v>74</v>
      </c>
      <c r="J7" s="3" t="n">
        <f aca="false">F7+G7+H7</f>
        <v>0</v>
      </c>
      <c r="K7" s="5" t="n">
        <f aca="false">IFERROR(J7/I7,0)</f>
        <v>0</v>
      </c>
    </row>
    <row r="8" customFormat="false" ht="15" hidden="false" customHeight="false" outlineLevel="0" collapsed="false">
      <c r="A8" s="2" t="s">
        <v>17</v>
      </c>
      <c r="B8" s="3" t="n">
        <v>228</v>
      </c>
      <c r="C8" s="3" t="n">
        <v>214</v>
      </c>
      <c r="D8" s="4" t="n">
        <v>93.86</v>
      </c>
      <c r="E8" s="3" t="n">
        <v>14</v>
      </c>
      <c r="F8" s="3" t="n">
        <v>0</v>
      </c>
      <c r="G8" s="3" t="n">
        <v>0</v>
      </c>
      <c r="H8" s="3" t="n">
        <v>0</v>
      </c>
      <c r="I8" s="3" t="n">
        <f aca="false">B8-C8</f>
        <v>14</v>
      </c>
      <c r="J8" s="3" t="n">
        <f aca="false">F8+G8+H8</f>
        <v>0</v>
      </c>
      <c r="K8" s="5" t="n">
        <f aca="false">IFERROR(J8/I8,0)</f>
        <v>0</v>
      </c>
    </row>
    <row r="9" customFormat="false" ht="15" hidden="false" customHeight="false" outlineLevel="0" collapsed="false">
      <c r="A9" s="2" t="s">
        <v>18</v>
      </c>
      <c r="B9" s="3" t="n">
        <v>3509</v>
      </c>
      <c r="C9" s="3" t="n">
        <v>3385</v>
      </c>
      <c r="D9" s="4" t="n">
        <v>96.47</v>
      </c>
      <c r="E9" s="3" t="n">
        <v>123</v>
      </c>
      <c r="F9" s="3" t="n">
        <v>1</v>
      </c>
      <c r="G9" s="3" t="n">
        <v>0</v>
      </c>
      <c r="H9" s="3" t="n">
        <v>0</v>
      </c>
      <c r="I9" s="3" t="n">
        <f aca="false">B9-C9</f>
        <v>124</v>
      </c>
      <c r="J9" s="3" t="n">
        <f aca="false">F9+G9+H9</f>
        <v>1</v>
      </c>
      <c r="K9" s="5" t="n">
        <f aca="false">IFERROR(J9/I9,0)</f>
        <v>0.00806451612903226</v>
      </c>
    </row>
    <row r="10" customFormat="false" ht="15" hidden="false" customHeight="false" outlineLevel="0" collapsed="false">
      <c r="A10" s="2" t="s">
        <v>19</v>
      </c>
      <c r="B10" s="3" t="n">
        <v>11987</v>
      </c>
      <c r="C10" s="3" t="n">
        <v>11577</v>
      </c>
      <c r="D10" s="4" t="n">
        <v>96.58</v>
      </c>
      <c r="E10" s="3" t="n">
        <v>408</v>
      </c>
      <c r="F10" s="3" t="n">
        <v>2</v>
      </c>
      <c r="G10" s="3" t="n">
        <v>0</v>
      </c>
      <c r="H10" s="3" t="n">
        <v>0</v>
      </c>
      <c r="I10" s="3" t="n">
        <f aca="false">B10-C10</f>
        <v>410</v>
      </c>
      <c r="J10" s="3" t="n">
        <f aca="false">F10+G10+H10</f>
        <v>2</v>
      </c>
      <c r="K10" s="5" t="n">
        <f aca="false">IFERROR(J10/I10,0)</f>
        <v>0.00487804878048781</v>
      </c>
    </row>
    <row r="11" customFormat="false" ht="15" hidden="false" customHeight="false" outlineLevel="0" collapsed="false">
      <c r="A11" s="2" t="s">
        <v>20</v>
      </c>
      <c r="B11" s="3" t="n">
        <v>11607</v>
      </c>
      <c r="C11" s="3" t="n">
        <v>10616</v>
      </c>
      <c r="D11" s="4" t="n">
        <v>91.46</v>
      </c>
      <c r="E11" s="3" t="n">
        <v>888</v>
      </c>
      <c r="F11" s="3" t="n">
        <v>103</v>
      </c>
      <c r="G11" s="3" t="n">
        <v>0</v>
      </c>
      <c r="H11" s="3" t="n">
        <v>0</v>
      </c>
      <c r="I11" s="3" t="n">
        <f aca="false">B11-C11</f>
        <v>991</v>
      </c>
      <c r="J11" s="3" t="n">
        <f aca="false">F11+G11+H11</f>
        <v>103</v>
      </c>
      <c r="K11" s="5" t="n">
        <f aca="false">IFERROR(J11/I11,0)</f>
        <v>0.10393541876892</v>
      </c>
    </row>
    <row r="12" customFormat="false" ht="15" hidden="false" customHeight="false" outlineLevel="0" collapsed="false">
      <c r="A12" s="2" t="s">
        <v>21</v>
      </c>
      <c r="B12" s="3" t="n">
        <v>1946</v>
      </c>
      <c r="C12" s="3" t="n">
        <v>1772</v>
      </c>
      <c r="D12" s="4" t="n">
        <v>91.06</v>
      </c>
      <c r="E12" s="3" t="n">
        <v>173</v>
      </c>
      <c r="F12" s="3" t="n">
        <v>1</v>
      </c>
      <c r="G12" s="3" t="n">
        <v>0</v>
      </c>
      <c r="H12" s="3" t="n">
        <v>0</v>
      </c>
      <c r="I12" s="3" t="n">
        <f aca="false">B12-C12</f>
        <v>174</v>
      </c>
      <c r="J12" s="3" t="n">
        <f aca="false">F12+G12+H12</f>
        <v>1</v>
      </c>
      <c r="K12" s="5" t="n">
        <f aca="false">IFERROR(J12/I12,0)</f>
        <v>0.00574712643678161</v>
      </c>
    </row>
    <row r="13" customFormat="false" ht="15" hidden="false" customHeight="false" outlineLevel="0" collapsed="false">
      <c r="A13" s="2" t="s">
        <v>22</v>
      </c>
      <c r="B13" s="3" t="n">
        <v>809</v>
      </c>
      <c r="C13" s="3" t="n">
        <v>764</v>
      </c>
      <c r="D13" s="4" t="n">
        <v>94.44</v>
      </c>
      <c r="E13" s="3" t="n">
        <v>41</v>
      </c>
      <c r="F13" s="3" t="n">
        <v>4</v>
      </c>
      <c r="G13" s="3" t="n">
        <v>0</v>
      </c>
      <c r="H13" s="3" t="n">
        <v>0</v>
      </c>
      <c r="I13" s="3" t="n">
        <f aca="false">B13-C13</f>
        <v>45</v>
      </c>
      <c r="J13" s="3" t="n">
        <f aca="false">F13+G13+H13</f>
        <v>4</v>
      </c>
      <c r="K13" s="5" t="n">
        <f aca="false">IFERROR(J13/I13,0)</f>
        <v>0.0888888888888889</v>
      </c>
    </row>
    <row r="14" customFormat="false" ht="15" hidden="false" customHeight="false" outlineLevel="0" collapsed="false">
      <c r="A14" s="2" t="s">
        <v>23</v>
      </c>
      <c r="B14" s="3" t="n">
        <v>224672</v>
      </c>
      <c r="C14" s="3" t="n">
        <v>218236</v>
      </c>
      <c r="D14" s="4" t="n">
        <v>97.14</v>
      </c>
      <c r="E14" s="3" t="n">
        <v>6425</v>
      </c>
      <c r="F14" s="3" t="n">
        <v>10</v>
      </c>
      <c r="G14" s="3" t="n">
        <v>1</v>
      </c>
      <c r="H14" s="3" t="n">
        <v>0</v>
      </c>
      <c r="I14" s="3" t="n">
        <f aca="false">B14-C14</f>
        <v>6436</v>
      </c>
      <c r="J14" s="3" t="n">
        <f aca="false">F14+G14+H14</f>
        <v>11</v>
      </c>
      <c r="K14" s="5" t="n">
        <f aca="false">IFERROR(J14/I14,0)</f>
        <v>0.00170913610938471</v>
      </c>
    </row>
    <row r="15" customFormat="false" ht="15" hidden="false" customHeight="false" outlineLevel="0" collapsed="false">
      <c r="A15" s="2" t="s">
        <v>24</v>
      </c>
      <c r="B15" s="3" t="n">
        <v>28059</v>
      </c>
      <c r="C15" s="3" t="n">
        <v>27319</v>
      </c>
      <c r="D15" s="4" t="n">
        <v>97.36</v>
      </c>
      <c r="E15" s="3" t="n">
        <v>737</v>
      </c>
      <c r="F15" s="3" t="n">
        <v>2</v>
      </c>
      <c r="G15" s="3" t="n">
        <v>1</v>
      </c>
      <c r="H15" s="3" t="n">
        <v>0</v>
      </c>
      <c r="I15" s="3" t="n">
        <f aca="false">B15-C15</f>
        <v>740</v>
      </c>
      <c r="J15" s="3" t="n">
        <f aca="false">F15+G15+H15</f>
        <v>3</v>
      </c>
      <c r="K15" s="5" t="n">
        <f aca="false">IFERROR(J15/I15,0)</f>
        <v>0.00405405405405405</v>
      </c>
    </row>
    <row r="16" customFormat="false" ht="15" hidden="false" customHeight="false" outlineLevel="0" collapsed="false">
      <c r="A16" s="2" t="s">
        <v>25</v>
      </c>
      <c r="B16" s="3" t="n">
        <v>3585</v>
      </c>
      <c r="C16" s="3" t="n">
        <v>3522</v>
      </c>
      <c r="D16" s="4" t="n">
        <v>98.24</v>
      </c>
      <c r="E16" s="3" t="n">
        <v>63</v>
      </c>
      <c r="F16" s="3" t="n">
        <v>0</v>
      </c>
      <c r="G16" s="3" t="n">
        <v>0</v>
      </c>
      <c r="H16" s="3" t="n">
        <v>0</v>
      </c>
      <c r="I16" s="3" t="n">
        <f aca="false">B16-C16</f>
        <v>63</v>
      </c>
      <c r="J16" s="3" t="n">
        <f aca="false">F16+G16+H16</f>
        <v>0</v>
      </c>
      <c r="K16" s="5" t="n">
        <f aca="false">IFERROR(J16/I16,0)</f>
        <v>0</v>
      </c>
    </row>
    <row r="17" customFormat="false" ht="15" hidden="false" customHeight="false" outlineLevel="0" collapsed="false">
      <c r="A17" s="2" t="s">
        <v>26</v>
      </c>
      <c r="B17" s="3" t="n">
        <v>9742</v>
      </c>
      <c r="C17" s="3" t="n">
        <v>9482</v>
      </c>
      <c r="D17" s="4" t="n">
        <v>97.33</v>
      </c>
      <c r="E17" s="3" t="n">
        <v>235</v>
      </c>
      <c r="F17" s="3" t="n">
        <v>18</v>
      </c>
      <c r="G17" s="3" t="n">
        <v>7</v>
      </c>
      <c r="H17" s="3" t="n">
        <v>0</v>
      </c>
      <c r="I17" s="3" t="n">
        <f aca="false">B17-C17</f>
        <v>260</v>
      </c>
      <c r="J17" s="3" t="n">
        <f aca="false">F17+G17+H17</f>
        <v>25</v>
      </c>
      <c r="K17" s="5" t="n">
        <f aca="false">IFERROR(J17/I17,0)</f>
        <v>0.0961538461538462</v>
      </c>
    </row>
    <row r="18" customFormat="false" ht="15" hidden="false" customHeight="false" outlineLevel="0" collapsed="false">
      <c r="A18" s="2" t="s">
        <v>27</v>
      </c>
      <c r="B18" s="3" t="n">
        <v>473</v>
      </c>
      <c r="C18" s="3" t="n">
        <v>448</v>
      </c>
      <c r="D18" s="4" t="n">
        <v>94.71</v>
      </c>
      <c r="E18" s="3" t="n">
        <v>25</v>
      </c>
      <c r="F18" s="3" t="n">
        <v>0</v>
      </c>
      <c r="G18" s="3" t="n">
        <v>0</v>
      </c>
      <c r="H18" s="3" t="n">
        <v>0</v>
      </c>
      <c r="I18" s="3" t="n">
        <f aca="false">B18-C18</f>
        <v>25</v>
      </c>
      <c r="J18" s="3" t="n">
        <f aca="false">F18+G18+H18</f>
        <v>0</v>
      </c>
      <c r="K18" s="5" t="n">
        <f aca="false">IFERROR(J18/I18,0)</f>
        <v>0</v>
      </c>
    </row>
    <row r="19" customFormat="false" ht="15" hidden="false" customHeight="false" outlineLevel="0" collapsed="false">
      <c r="A19" s="2" t="s">
        <v>28</v>
      </c>
      <c r="B19" s="3" t="n">
        <v>1687</v>
      </c>
      <c r="C19" s="3" t="n">
        <v>1661</v>
      </c>
      <c r="D19" s="4" t="n">
        <v>98.46</v>
      </c>
      <c r="E19" s="3" t="n">
        <v>26</v>
      </c>
      <c r="F19" s="3" t="n">
        <v>0</v>
      </c>
      <c r="G19" s="3" t="n">
        <v>0</v>
      </c>
      <c r="H19" s="3" t="n">
        <v>0</v>
      </c>
      <c r="I19" s="3" t="n">
        <f aca="false">B19-C19</f>
        <v>26</v>
      </c>
      <c r="J19" s="3" t="n">
        <f aca="false">F19+G19+H19</f>
        <v>0</v>
      </c>
      <c r="K19" s="5" t="n">
        <f aca="false">IFERROR(J19/I19,0)</f>
        <v>0</v>
      </c>
    </row>
    <row r="20" customFormat="false" ht="15" hidden="false" customHeight="false" outlineLevel="0" collapsed="false">
      <c r="A20" s="2" t="s">
        <v>29</v>
      </c>
      <c r="B20" s="3" t="n">
        <v>51557</v>
      </c>
      <c r="C20" s="3" t="n">
        <v>50220</v>
      </c>
      <c r="D20" s="4" t="n">
        <v>97.41</v>
      </c>
      <c r="E20" s="3" t="n">
        <v>1253</v>
      </c>
      <c r="F20" s="3" t="n">
        <v>72</v>
      </c>
      <c r="G20" s="3" t="n">
        <v>12</v>
      </c>
      <c r="H20" s="3" t="n">
        <v>0</v>
      </c>
      <c r="I20" s="3" t="n">
        <f aca="false">B20-C20</f>
        <v>1337</v>
      </c>
      <c r="J20" s="3" t="n">
        <f aca="false">F20+G20+H20</f>
        <v>84</v>
      </c>
      <c r="K20" s="5" t="n">
        <f aca="false">IFERROR(J20/I20,0)</f>
        <v>0.0628272251308901</v>
      </c>
    </row>
    <row r="21" customFormat="false" ht="15" hidden="false" customHeight="false" outlineLevel="0" collapsed="false">
      <c r="A21" s="2" t="s">
        <v>30</v>
      </c>
      <c r="B21" s="3" t="n">
        <v>1122</v>
      </c>
      <c r="C21" s="3" t="n">
        <v>1090</v>
      </c>
      <c r="D21" s="4" t="n">
        <v>97.15</v>
      </c>
      <c r="E21" s="3" t="n">
        <v>32</v>
      </c>
      <c r="F21" s="3" t="n">
        <v>0</v>
      </c>
      <c r="G21" s="3" t="n">
        <v>0</v>
      </c>
      <c r="H21" s="3" t="n">
        <v>0</v>
      </c>
      <c r="I21" s="3" t="n">
        <f aca="false">B21-C21</f>
        <v>32</v>
      </c>
      <c r="J21" s="3" t="n">
        <f aca="false">F21+G21+H21</f>
        <v>0</v>
      </c>
      <c r="K21" s="5" t="n">
        <f aca="false">IFERROR(J21/I21,0)</f>
        <v>0</v>
      </c>
    </row>
    <row r="22" customFormat="false" ht="15" hidden="false" customHeight="false" outlineLevel="0" collapsed="false">
      <c r="A22" s="2" t="s">
        <v>31</v>
      </c>
      <c r="B22" s="3" t="n">
        <v>4144</v>
      </c>
      <c r="C22" s="3" t="n">
        <v>4020</v>
      </c>
      <c r="D22" s="4" t="n">
        <v>97.01</v>
      </c>
      <c r="E22" s="3" t="n">
        <v>119</v>
      </c>
      <c r="F22" s="3" t="n">
        <v>5</v>
      </c>
      <c r="G22" s="3" t="n">
        <v>0</v>
      </c>
      <c r="H22" s="3" t="n">
        <v>0</v>
      </c>
      <c r="I22" s="3" t="n">
        <f aca="false">B22-C22</f>
        <v>124</v>
      </c>
      <c r="J22" s="3" t="n">
        <f aca="false">F22+G22+H22</f>
        <v>5</v>
      </c>
      <c r="K22" s="5" t="n">
        <f aca="false">IFERROR(J22/I22,0)</f>
        <v>0.0403225806451613</v>
      </c>
    </row>
    <row r="23" customFormat="false" ht="15" hidden="false" customHeight="false" outlineLevel="0" collapsed="false">
      <c r="A23" s="2" t="s">
        <v>32</v>
      </c>
      <c r="B23" s="3" t="n">
        <v>21694</v>
      </c>
      <c r="C23" s="3" t="n">
        <v>20339</v>
      </c>
      <c r="D23" s="4" t="n">
        <v>93.75</v>
      </c>
      <c r="E23" s="3" t="n">
        <v>1327</v>
      </c>
      <c r="F23" s="3" t="n">
        <v>28</v>
      </c>
      <c r="G23" s="3" t="n">
        <v>0</v>
      </c>
      <c r="H23" s="3" t="n">
        <v>0</v>
      </c>
      <c r="I23" s="3" t="n">
        <f aca="false">B23-C23</f>
        <v>1355</v>
      </c>
      <c r="J23" s="3" t="n">
        <f aca="false">F23+G23+H23</f>
        <v>28</v>
      </c>
      <c r="K23" s="5" t="n">
        <f aca="false">IFERROR(J23/I23,0)</f>
        <v>0.0206642066420664</v>
      </c>
    </row>
    <row r="24" customFormat="false" ht="15" hidden="false" customHeight="false" outlineLevel="0" collapsed="false">
      <c r="A24" s="2" t="s">
        <v>33</v>
      </c>
      <c r="B24" s="3" t="n">
        <v>28631</v>
      </c>
      <c r="C24" s="3" t="n">
        <v>27668</v>
      </c>
      <c r="D24" s="4" t="n">
        <v>96.64</v>
      </c>
      <c r="E24" s="3" t="n">
        <v>963</v>
      </c>
      <c r="F24" s="3" t="n">
        <v>0</v>
      </c>
      <c r="G24" s="3" t="n">
        <v>0</v>
      </c>
      <c r="H24" s="3" t="n">
        <v>0</v>
      </c>
      <c r="I24" s="3" t="n">
        <f aca="false">B24-C24</f>
        <v>963</v>
      </c>
      <c r="J24" s="3" t="n">
        <f aca="false">F24+G24+H24</f>
        <v>0</v>
      </c>
      <c r="K24" s="5" t="n">
        <f aca="false">IFERROR(J24/I24,0)</f>
        <v>0</v>
      </c>
    </row>
    <row r="25" customFormat="false" ht="15" hidden="false" customHeight="false" outlineLevel="0" collapsed="false">
      <c r="A25" s="2" t="s">
        <v>34</v>
      </c>
      <c r="B25" s="3" t="n">
        <v>2529</v>
      </c>
      <c r="C25" s="3" t="n">
        <v>2395</v>
      </c>
      <c r="D25" s="4" t="n">
        <v>94.7</v>
      </c>
      <c r="E25" s="3" t="n">
        <v>131</v>
      </c>
      <c r="F25" s="3" t="n">
        <v>3</v>
      </c>
      <c r="G25" s="3" t="n">
        <v>0</v>
      </c>
      <c r="H25" s="3" t="n">
        <v>0</v>
      </c>
      <c r="I25" s="3" t="n">
        <f aca="false">B25-C25</f>
        <v>134</v>
      </c>
      <c r="J25" s="3" t="n">
        <f aca="false">F25+G25+H25</f>
        <v>3</v>
      </c>
      <c r="K25" s="5" t="n">
        <f aca="false">IFERROR(J25/I25,0)</f>
        <v>0.0223880597014925</v>
      </c>
    </row>
    <row r="26" customFormat="false" ht="15" hidden="false" customHeight="false" outlineLevel="0" collapsed="false">
      <c r="A26" s="2" t="s">
        <v>35</v>
      </c>
      <c r="B26" s="3" t="n">
        <v>1288</v>
      </c>
      <c r="C26" s="3" t="n">
        <v>1163</v>
      </c>
      <c r="D26" s="4" t="n">
        <v>90.3</v>
      </c>
      <c r="E26" s="3" t="n">
        <v>123</v>
      </c>
      <c r="F26" s="3" t="n">
        <v>2</v>
      </c>
      <c r="G26" s="3" t="n">
        <v>0</v>
      </c>
      <c r="H26" s="3" t="n">
        <v>0</v>
      </c>
      <c r="I26" s="3" t="n">
        <f aca="false">B26-C26</f>
        <v>125</v>
      </c>
      <c r="J26" s="3" t="n">
        <f aca="false">F26+G26+H26</f>
        <v>2</v>
      </c>
      <c r="K26" s="5" t="n">
        <f aca="false">IFERROR(J26/I26,0)</f>
        <v>0.016</v>
      </c>
    </row>
    <row r="27" customFormat="false" ht="15" hidden="false" customHeight="false" outlineLevel="0" collapsed="false">
      <c r="A27" s="2" t="s">
        <v>36</v>
      </c>
      <c r="B27" s="3" t="n">
        <v>27143</v>
      </c>
      <c r="C27" s="3" t="n">
        <v>26779</v>
      </c>
      <c r="D27" s="4" t="n">
        <v>98.66</v>
      </c>
      <c r="E27" s="3" t="n">
        <v>363</v>
      </c>
      <c r="F27" s="3" t="n">
        <v>1</v>
      </c>
      <c r="G27" s="3" t="n">
        <v>0</v>
      </c>
      <c r="H27" s="3" t="n">
        <v>0</v>
      </c>
      <c r="I27" s="3" t="n">
        <f aca="false">B27-C27</f>
        <v>364</v>
      </c>
      <c r="J27" s="3" t="n">
        <f aca="false">F27+G27+H27</f>
        <v>1</v>
      </c>
      <c r="K27" s="5" t="n">
        <f aca="false">IFERROR(J27/I27,0)</f>
        <v>0.00274725274725275</v>
      </c>
    </row>
    <row r="28" customFormat="false" ht="15" hidden="false" customHeight="false" outlineLevel="0" collapsed="false">
      <c r="A28" s="2" t="s">
        <v>37</v>
      </c>
      <c r="B28" s="3" t="n">
        <v>280</v>
      </c>
      <c r="C28" s="3" t="n">
        <v>274</v>
      </c>
      <c r="D28" s="4" t="n">
        <v>97.86</v>
      </c>
      <c r="E28" s="3" t="n">
        <v>6</v>
      </c>
      <c r="F28" s="3" t="n">
        <v>0</v>
      </c>
      <c r="G28" s="3" t="n">
        <v>0</v>
      </c>
      <c r="H28" s="3" t="n">
        <v>0</v>
      </c>
      <c r="I28" s="3" t="n">
        <f aca="false">B28-C28</f>
        <v>6</v>
      </c>
      <c r="J28" s="3" t="n">
        <f aca="false">F28+G28+H28</f>
        <v>0</v>
      </c>
      <c r="K28" s="5" t="n">
        <f aca="false">IFERROR(J28/I28,0)</f>
        <v>0</v>
      </c>
    </row>
    <row r="29" customFormat="false" ht="15" hidden="false" customHeight="false" outlineLevel="0" collapsed="false">
      <c r="A29" s="2" t="s">
        <v>38</v>
      </c>
      <c r="B29" s="3" t="n">
        <v>3625</v>
      </c>
      <c r="C29" s="3" t="n">
        <v>3484</v>
      </c>
      <c r="D29" s="4" t="n">
        <v>96.11</v>
      </c>
      <c r="E29" s="3" t="n">
        <v>131</v>
      </c>
      <c r="F29" s="3" t="n">
        <v>10</v>
      </c>
      <c r="G29" s="3" t="n">
        <v>0</v>
      </c>
      <c r="H29" s="3" t="n">
        <v>0</v>
      </c>
      <c r="I29" s="3" t="n">
        <f aca="false">B29-C29</f>
        <v>141</v>
      </c>
      <c r="J29" s="3" t="n">
        <f aca="false">F29+G29+H29</f>
        <v>10</v>
      </c>
      <c r="K29" s="5" t="n">
        <f aca="false">IFERROR(J29/I29,0)</f>
        <v>0.0709219858156028</v>
      </c>
    </row>
    <row r="30" customFormat="false" ht="15" hidden="false" customHeight="false" outlineLevel="0" collapsed="false">
      <c r="A30" s="2" t="s">
        <v>39</v>
      </c>
      <c r="B30" s="3" t="n">
        <v>859</v>
      </c>
      <c r="C30" s="3" t="n">
        <v>851</v>
      </c>
      <c r="D30" s="4" t="n">
        <v>99.07</v>
      </c>
      <c r="E30" s="3" t="n">
        <v>8</v>
      </c>
      <c r="F30" s="3" t="n">
        <v>0</v>
      </c>
      <c r="G30" s="3" t="n">
        <v>0</v>
      </c>
      <c r="H30" s="3" t="n">
        <v>0</v>
      </c>
      <c r="I30" s="3" t="n">
        <f aca="false">B30-C30</f>
        <v>8</v>
      </c>
      <c r="J30" s="3" t="n">
        <f aca="false">F30+G30+H30</f>
        <v>0</v>
      </c>
      <c r="K30" s="5" t="n">
        <f aca="false">IFERROR(J30/I30,0)</f>
        <v>0</v>
      </c>
    </row>
    <row r="31" customFormat="false" ht="15" hidden="false" customHeight="false" outlineLevel="0" collapsed="false">
      <c r="A31" s="2" t="s">
        <v>40</v>
      </c>
      <c r="B31" s="3" t="n">
        <v>4636</v>
      </c>
      <c r="C31" s="3" t="n">
        <v>4494</v>
      </c>
      <c r="D31" s="4" t="n">
        <v>96.94</v>
      </c>
      <c r="E31" s="3" t="n">
        <v>142</v>
      </c>
      <c r="F31" s="3" t="n">
        <v>0</v>
      </c>
      <c r="G31" s="3" t="n">
        <v>0</v>
      </c>
      <c r="H31" s="3" t="n">
        <v>0</v>
      </c>
      <c r="I31" s="3" t="n">
        <f aca="false">B31-C31</f>
        <v>142</v>
      </c>
      <c r="J31" s="3" t="n">
        <f aca="false">F31+G31+H31</f>
        <v>0</v>
      </c>
      <c r="K31" s="5" t="n">
        <f aca="false">IFERROR(J31/I31,0)</f>
        <v>0</v>
      </c>
    </row>
    <row r="32" customFormat="false" ht="15" hidden="false" customHeight="false" outlineLevel="0" collapsed="false">
      <c r="A32" s="2" t="s">
        <v>41</v>
      </c>
      <c r="B32" s="3" t="n">
        <v>631</v>
      </c>
      <c r="C32" s="3" t="n">
        <v>629</v>
      </c>
      <c r="D32" s="4" t="n">
        <v>99.68</v>
      </c>
      <c r="E32" s="3" t="n">
        <v>2</v>
      </c>
      <c r="F32" s="3" t="n">
        <v>0</v>
      </c>
      <c r="G32" s="3" t="n">
        <v>0</v>
      </c>
      <c r="H32" s="3" t="n">
        <v>0</v>
      </c>
      <c r="I32" s="3" t="n">
        <f aca="false">B32-C32</f>
        <v>2</v>
      </c>
      <c r="J32" s="3" t="n">
        <f aca="false">F32+G32+H32</f>
        <v>0</v>
      </c>
      <c r="K32" s="5" t="n">
        <f aca="false">IFERROR(J32/I32,0)</f>
        <v>0</v>
      </c>
    </row>
    <row r="33" customFormat="false" ht="15" hidden="false" customHeight="false" outlineLevel="0" collapsed="false">
      <c r="A33" s="2" t="s">
        <v>42</v>
      </c>
      <c r="B33" s="3" t="n">
        <v>10445</v>
      </c>
      <c r="C33" s="3" t="n">
        <v>9880</v>
      </c>
      <c r="D33" s="4" t="n">
        <v>94.59</v>
      </c>
      <c r="E33" s="3" t="n">
        <v>516</v>
      </c>
      <c r="F33" s="3" t="n">
        <v>30</v>
      </c>
      <c r="G33" s="3" t="n">
        <v>19</v>
      </c>
      <c r="H33" s="3" t="n">
        <v>0</v>
      </c>
      <c r="I33" s="3" t="n">
        <f aca="false">B33-C33</f>
        <v>565</v>
      </c>
      <c r="J33" s="3" t="n">
        <f aca="false">F33+G33+H33</f>
        <v>49</v>
      </c>
      <c r="K33" s="5" t="n">
        <f aca="false">IFERROR(J33/I33,0)</f>
        <v>0.0867256637168142</v>
      </c>
    </row>
    <row r="34" customFormat="false" ht="15" hidden="false" customHeight="false" outlineLevel="0" collapsed="false">
      <c r="A34" s="2" t="s">
        <v>43</v>
      </c>
      <c r="B34" s="3" t="n">
        <v>2826</v>
      </c>
      <c r="C34" s="3" t="n">
        <v>2664</v>
      </c>
      <c r="D34" s="4" t="n">
        <v>94.27</v>
      </c>
      <c r="E34" s="3" t="n">
        <v>145</v>
      </c>
      <c r="F34" s="3" t="n">
        <v>17</v>
      </c>
      <c r="G34" s="3" t="n">
        <v>0</v>
      </c>
      <c r="H34" s="3" t="n">
        <v>0</v>
      </c>
      <c r="I34" s="3" t="n">
        <f aca="false">B34-C34</f>
        <v>162</v>
      </c>
      <c r="J34" s="3" t="n">
        <f aca="false">F34+G34+H34</f>
        <v>17</v>
      </c>
      <c r="K34" s="5" t="n">
        <f aca="false">IFERROR(J34/I34,0)</f>
        <v>0.104938271604938</v>
      </c>
    </row>
    <row r="35" customFormat="false" ht="15" hidden="false" customHeight="false" outlineLevel="0" collapsed="false">
      <c r="A35" s="2" t="s">
        <v>44</v>
      </c>
      <c r="B35" s="3" t="n">
        <v>1969</v>
      </c>
      <c r="C35" s="3" t="n">
        <v>1892</v>
      </c>
      <c r="D35" s="4" t="n">
        <v>96.09</v>
      </c>
      <c r="E35" s="3" t="n">
        <v>77</v>
      </c>
      <c r="F35" s="3" t="n">
        <v>0</v>
      </c>
      <c r="G35" s="3" t="n">
        <v>0</v>
      </c>
      <c r="H35" s="3" t="n">
        <v>0</v>
      </c>
      <c r="I35" s="3" t="n">
        <f aca="false">B35-C35</f>
        <v>77</v>
      </c>
      <c r="J35" s="3" t="n">
        <f aca="false">F35+G35+H35</f>
        <v>0</v>
      </c>
      <c r="K35" s="5" t="n">
        <f aca="false">IFERROR(J35/I35,0)</f>
        <v>0</v>
      </c>
    </row>
    <row r="36" customFormat="false" ht="15" hidden="false" customHeight="false" outlineLevel="0" collapsed="false">
      <c r="A36" s="2" t="s">
        <v>45</v>
      </c>
      <c r="B36" s="3" t="n">
        <v>16707</v>
      </c>
      <c r="C36" s="3" t="n">
        <v>15279</v>
      </c>
      <c r="D36" s="4" t="n">
        <v>91.45</v>
      </c>
      <c r="E36" s="3" t="n">
        <v>1183</v>
      </c>
      <c r="F36" s="3" t="n">
        <v>199</v>
      </c>
      <c r="G36" s="3" t="n">
        <v>46</v>
      </c>
      <c r="H36" s="3" t="n">
        <v>0</v>
      </c>
      <c r="I36" s="3" t="n">
        <f aca="false">B36-C36</f>
        <v>1428</v>
      </c>
      <c r="J36" s="3" t="n">
        <f aca="false">F36+G36+H36</f>
        <v>245</v>
      </c>
      <c r="K36" s="5" t="n">
        <f aca="false">IFERROR(J36/I36,0)</f>
        <v>0.17156862745098</v>
      </c>
    </row>
    <row r="37" customFormat="false" ht="15" hidden="false" customHeight="false" outlineLevel="0" collapsed="false">
      <c r="A37" s="2" t="s">
        <v>46</v>
      </c>
      <c r="B37" s="3" t="n">
        <v>529</v>
      </c>
      <c r="C37" s="3" t="n">
        <v>502</v>
      </c>
      <c r="D37" s="4" t="n">
        <v>94.9</v>
      </c>
      <c r="E37" s="3" t="n">
        <v>26</v>
      </c>
      <c r="F37" s="3" t="n">
        <v>0</v>
      </c>
      <c r="G37" s="3" t="n">
        <v>1</v>
      </c>
      <c r="H37" s="3" t="n">
        <v>0</v>
      </c>
      <c r="I37" s="3" t="n">
        <f aca="false">B37-C37</f>
        <v>27</v>
      </c>
      <c r="J37" s="3" t="n">
        <f aca="false">F37+G37+H37</f>
        <v>1</v>
      </c>
      <c r="K37" s="5" t="n">
        <f aca="false">IFERROR(J37/I37,0)</f>
        <v>0.037037037037037</v>
      </c>
    </row>
    <row r="38" customFormat="false" ht="15" hidden="false" customHeight="false" outlineLevel="0" collapsed="false">
      <c r="A38" s="2" t="s">
        <v>47</v>
      </c>
      <c r="B38" s="3" t="n">
        <v>700</v>
      </c>
      <c r="C38" s="3" t="n">
        <v>674</v>
      </c>
      <c r="D38" s="4" t="n">
        <v>96.29</v>
      </c>
      <c r="E38" s="3" t="n">
        <v>26</v>
      </c>
      <c r="F38" s="3" t="n">
        <v>0</v>
      </c>
      <c r="G38" s="3" t="n">
        <v>0</v>
      </c>
      <c r="H38" s="3" t="n">
        <v>0</v>
      </c>
      <c r="I38" s="3" t="n">
        <f aca="false">B38-C38</f>
        <v>26</v>
      </c>
      <c r="J38" s="3" t="n">
        <f aca="false">F38+G38+H38</f>
        <v>0</v>
      </c>
      <c r="K38" s="5" t="n">
        <f aca="false">IFERROR(J38/I38,0)</f>
        <v>0</v>
      </c>
    </row>
    <row r="39" customFormat="false" ht="15" hidden="false" customHeight="false" outlineLevel="0" collapsed="false">
      <c r="A39" s="2" t="s">
        <v>48</v>
      </c>
      <c r="B39" s="3" t="n">
        <v>2425</v>
      </c>
      <c r="C39" s="3" t="n">
        <v>2317</v>
      </c>
      <c r="D39" s="4" t="n">
        <v>95.55</v>
      </c>
      <c r="E39" s="3" t="n">
        <v>106</v>
      </c>
      <c r="F39" s="3" t="n">
        <v>2</v>
      </c>
      <c r="G39" s="3" t="n">
        <v>0</v>
      </c>
      <c r="H39" s="3" t="n">
        <v>0</v>
      </c>
      <c r="I39" s="3" t="n">
        <f aca="false">B39-C39</f>
        <v>108</v>
      </c>
      <c r="J39" s="3" t="n">
        <f aca="false">F39+G39+H39</f>
        <v>2</v>
      </c>
      <c r="K39" s="5" t="n">
        <f aca="false">IFERROR(J39/I39,0)</f>
        <v>0.0185185185185185</v>
      </c>
    </row>
    <row r="40" customFormat="false" ht="15" hidden="false" customHeight="false" outlineLevel="0" collapsed="false">
      <c r="A40" s="2" t="s">
        <v>49</v>
      </c>
      <c r="B40" s="3" t="n">
        <v>6153</v>
      </c>
      <c r="C40" s="3" t="n">
        <v>6120</v>
      </c>
      <c r="D40" s="4" t="n">
        <v>99.46</v>
      </c>
      <c r="E40" s="3" t="n">
        <v>33</v>
      </c>
      <c r="F40" s="3" t="n">
        <v>0</v>
      </c>
      <c r="G40" s="3" t="n">
        <v>0</v>
      </c>
      <c r="H40" s="3" t="n">
        <v>0</v>
      </c>
      <c r="I40" s="3" t="n">
        <f aca="false">B40-C40</f>
        <v>33</v>
      </c>
      <c r="J40" s="3" t="n">
        <f aca="false">F40+G40+H40</f>
        <v>0</v>
      </c>
      <c r="K40" s="5" t="n">
        <f aca="false">IFERROR(J40/I40,0)</f>
        <v>0</v>
      </c>
    </row>
    <row r="41" customFormat="false" ht="15" hidden="false" customHeight="false" outlineLevel="0" collapsed="false">
      <c r="A41" s="2" t="s">
        <v>50</v>
      </c>
      <c r="B41" s="3" t="n">
        <v>157</v>
      </c>
      <c r="C41" s="3" t="n">
        <v>157</v>
      </c>
      <c r="D41" s="4" t="n">
        <v>100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f aca="false">B41-C41</f>
        <v>0</v>
      </c>
      <c r="J41" s="3" t="n">
        <f aca="false">F41+G41+H41</f>
        <v>0</v>
      </c>
      <c r="K41" s="5" t="n">
        <f aca="false">IFERROR(J41/I41,0)</f>
        <v>0</v>
      </c>
    </row>
    <row r="42" customFormat="false" ht="15" hidden="false" customHeight="false" outlineLevel="0" collapsed="false">
      <c r="A42" s="2" t="s">
        <v>51</v>
      </c>
      <c r="B42" s="3" t="n">
        <v>19558</v>
      </c>
      <c r="C42" s="3" t="n">
        <v>18090</v>
      </c>
      <c r="D42" s="4" t="n">
        <v>92.49</v>
      </c>
      <c r="E42" s="3" t="n">
        <v>1383</v>
      </c>
      <c r="F42" s="3" t="n">
        <v>83</v>
      </c>
      <c r="G42" s="3" t="n">
        <v>2</v>
      </c>
      <c r="H42" s="3" t="n">
        <v>0</v>
      </c>
      <c r="I42" s="3" t="n">
        <f aca="false">B42-C42</f>
        <v>1468</v>
      </c>
      <c r="J42" s="3" t="n">
        <f aca="false">F42+G42+H42</f>
        <v>85</v>
      </c>
      <c r="K42" s="5" t="n">
        <f aca="false">IFERROR(J42/I42,0)</f>
        <v>0.0579019073569482</v>
      </c>
    </row>
    <row r="43" customFormat="false" ht="15" hidden="false" customHeight="false" outlineLevel="0" collapsed="false">
      <c r="A43" s="2" t="s">
        <v>52</v>
      </c>
      <c r="B43" s="3" t="n">
        <v>64691</v>
      </c>
      <c r="C43" s="3" t="n">
        <v>63678</v>
      </c>
      <c r="D43" s="4" t="n">
        <v>98.43</v>
      </c>
      <c r="E43" s="3" t="n">
        <v>952</v>
      </c>
      <c r="F43" s="3" t="n">
        <v>61</v>
      </c>
      <c r="G43" s="3" t="n">
        <v>0</v>
      </c>
      <c r="H43" s="3" t="n">
        <v>0</v>
      </c>
      <c r="I43" s="3" t="n">
        <f aca="false">B43-C43</f>
        <v>1013</v>
      </c>
      <c r="J43" s="3" t="n">
        <f aca="false">F43+G43+H43</f>
        <v>61</v>
      </c>
      <c r="K43" s="5" t="n">
        <f aca="false">IFERROR(J43/I43,0)</f>
        <v>0.0602171767028628</v>
      </c>
    </row>
    <row r="44" customFormat="false" ht="15" hidden="false" customHeight="false" outlineLevel="0" collapsed="false">
      <c r="A44" s="2" t="s">
        <v>53</v>
      </c>
      <c r="B44" s="3" t="n">
        <v>12438</v>
      </c>
      <c r="C44" s="3" t="n">
        <v>12193</v>
      </c>
      <c r="D44" s="4" t="n">
        <v>98.03</v>
      </c>
      <c r="E44" s="3" t="n">
        <v>226</v>
      </c>
      <c r="F44" s="3" t="n">
        <v>16</v>
      </c>
      <c r="G44" s="3" t="n">
        <v>3</v>
      </c>
      <c r="H44" s="3" t="n">
        <v>0</v>
      </c>
      <c r="I44" s="3" t="n">
        <f aca="false">B44-C44</f>
        <v>245</v>
      </c>
      <c r="J44" s="3" t="n">
        <f aca="false">F44+G44+H44</f>
        <v>19</v>
      </c>
      <c r="K44" s="5" t="n">
        <f aca="false">IFERROR(J44/I44,0)</f>
        <v>0.0775510204081633</v>
      </c>
    </row>
    <row r="45" customFormat="false" ht="15" hidden="false" customHeight="false" outlineLevel="0" collapsed="false">
      <c r="A45" s="2" t="s">
        <v>54</v>
      </c>
      <c r="B45" s="3" t="n">
        <v>1344</v>
      </c>
      <c r="C45" s="3" t="n">
        <v>1264</v>
      </c>
      <c r="D45" s="4" t="n">
        <v>94.05</v>
      </c>
      <c r="E45" s="3" t="n">
        <v>80</v>
      </c>
      <c r="F45" s="3" t="n">
        <v>0</v>
      </c>
      <c r="G45" s="3" t="n">
        <v>0</v>
      </c>
      <c r="H45" s="3" t="n">
        <v>0</v>
      </c>
      <c r="I45" s="3" t="n">
        <f aca="false">B45-C45</f>
        <v>80</v>
      </c>
      <c r="J45" s="3" t="n">
        <f aca="false">F45+G45+H45</f>
        <v>0</v>
      </c>
      <c r="K45" s="5" t="n">
        <f aca="false">IFERROR(J45/I45,0)</f>
        <v>0</v>
      </c>
    </row>
    <row r="46" customFormat="false" ht="15" hidden="false" customHeight="false" outlineLevel="0" collapsed="false">
      <c r="A46" s="2" t="s">
        <v>55</v>
      </c>
      <c r="B46" s="3" t="n">
        <v>21868</v>
      </c>
      <c r="C46" s="3" t="n">
        <v>20526</v>
      </c>
      <c r="D46" s="4" t="n">
        <v>93.86</v>
      </c>
      <c r="E46" s="3" t="n">
        <v>1338</v>
      </c>
      <c r="F46" s="3" t="n">
        <v>4</v>
      </c>
      <c r="G46" s="3" t="n">
        <v>0</v>
      </c>
      <c r="H46" s="3" t="n">
        <v>0</v>
      </c>
      <c r="I46" s="3" t="n">
        <f aca="false">B46-C46</f>
        <v>1342</v>
      </c>
      <c r="J46" s="3" t="n">
        <f aca="false">F46+G46+H46</f>
        <v>4</v>
      </c>
      <c r="K46" s="5" t="n">
        <f aca="false">IFERROR(J46/I46,0)</f>
        <v>0.0029806259314456</v>
      </c>
    </row>
    <row r="47" customFormat="false" ht="15" hidden="false" customHeight="false" outlineLevel="0" collapsed="false">
      <c r="A47" s="2" t="s">
        <v>56</v>
      </c>
      <c r="B47" s="3" t="n">
        <v>843</v>
      </c>
      <c r="C47" s="3" t="n">
        <v>816</v>
      </c>
      <c r="D47" s="4" t="n">
        <v>96.8</v>
      </c>
      <c r="E47" s="3" t="n">
        <v>27</v>
      </c>
      <c r="F47" s="3" t="n">
        <v>0</v>
      </c>
      <c r="G47" s="3" t="n">
        <v>0</v>
      </c>
      <c r="H47" s="3" t="n">
        <v>0</v>
      </c>
      <c r="I47" s="3" t="n">
        <f aca="false">B47-C47</f>
        <v>27</v>
      </c>
      <c r="J47" s="3" t="n">
        <f aca="false">F47+G47+H47</f>
        <v>0</v>
      </c>
      <c r="K47" s="5" t="n">
        <f aca="false">IFERROR(J47/I47,0)</f>
        <v>0</v>
      </c>
    </row>
    <row r="48" customFormat="false" ht="15" hidden="false" customHeight="false" outlineLevel="0" collapsed="false">
      <c r="A48" s="2" t="s">
        <v>57</v>
      </c>
      <c r="B48" s="3" t="n">
        <v>6241</v>
      </c>
      <c r="C48" s="3" t="n">
        <v>6001</v>
      </c>
      <c r="D48" s="4" t="n">
        <v>96.15</v>
      </c>
      <c r="E48" s="3" t="n">
        <v>230</v>
      </c>
      <c r="F48" s="3" t="n">
        <v>10</v>
      </c>
      <c r="G48" s="3" t="n">
        <v>0</v>
      </c>
      <c r="H48" s="3" t="n">
        <v>0</v>
      </c>
      <c r="I48" s="3" t="n">
        <f aca="false">B48-C48</f>
        <v>240</v>
      </c>
      <c r="J48" s="3" t="n">
        <f aca="false">F48+G48+H48</f>
        <v>10</v>
      </c>
      <c r="K48" s="5" t="n">
        <f aca="false">IFERROR(J48/I48,0)</f>
        <v>0.0416666666666667</v>
      </c>
    </row>
    <row r="49" customFormat="false" ht="15" hidden="false" customHeight="false" outlineLevel="0" collapsed="false">
      <c r="A49" s="2" t="s">
        <v>58</v>
      </c>
      <c r="B49" s="3" t="n">
        <v>71263</v>
      </c>
      <c r="C49" s="3" t="n">
        <v>68584</v>
      </c>
      <c r="D49" s="4" t="n">
        <v>96.24</v>
      </c>
      <c r="E49" s="3" t="n">
        <v>2679</v>
      </c>
      <c r="F49" s="3" t="n">
        <v>0</v>
      </c>
      <c r="G49" s="3" t="n">
        <v>0</v>
      </c>
      <c r="H49" s="3" t="n">
        <v>0</v>
      </c>
      <c r="I49" s="3" t="n">
        <f aca="false">B49-C49</f>
        <v>2679</v>
      </c>
      <c r="J49" s="3" t="n">
        <f aca="false">F49+G49+H49</f>
        <v>0</v>
      </c>
      <c r="K49" s="5" t="n">
        <f aca="false">IFERROR(J49/I49,0)</f>
        <v>0</v>
      </c>
    </row>
    <row r="50" customFormat="false" ht="15" hidden="false" customHeight="false" outlineLevel="0" collapsed="false">
      <c r="A50" s="2" t="s">
        <v>59</v>
      </c>
      <c r="B50" s="3" t="n">
        <v>27826</v>
      </c>
      <c r="C50" s="3" t="n">
        <v>26532</v>
      </c>
      <c r="D50" s="4" t="n">
        <v>95.35</v>
      </c>
      <c r="E50" s="3" t="n">
        <v>1162</v>
      </c>
      <c r="F50" s="3" t="n">
        <v>116</v>
      </c>
      <c r="G50" s="3" t="n">
        <v>16</v>
      </c>
      <c r="H50" s="3" t="n">
        <v>0</v>
      </c>
      <c r="I50" s="3" t="n">
        <f aca="false">B50-C50</f>
        <v>1294</v>
      </c>
      <c r="J50" s="3" t="n">
        <f aca="false">F50+G50+H50</f>
        <v>132</v>
      </c>
      <c r="K50" s="5" t="n">
        <f aca="false">IFERROR(J50/I50,0)</f>
        <v>0.102009273570325</v>
      </c>
    </row>
    <row r="51" customFormat="false" ht="15" hidden="false" customHeight="false" outlineLevel="0" collapsed="false">
      <c r="A51" s="2" t="s">
        <v>60</v>
      </c>
      <c r="B51" s="3" t="n">
        <v>9658</v>
      </c>
      <c r="C51" s="3" t="n">
        <v>9460</v>
      </c>
      <c r="D51" s="4" t="n">
        <v>97.95</v>
      </c>
      <c r="E51" s="3" t="n">
        <v>198</v>
      </c>
      <c r="F51" s="3" t="n">
        <v>0</v>
      </c>
      <c r="G51" s="3" t="n">
        <v>0</v>
      </c>
      <c r="H51" s="3" t="n">
        <v>0</v>
      </c>
      <c r="I51" s="3" t="n">
        <f aca="false">B51-C51</f>
        <v>198</v>
      </c>
      <c r="J51" s="3" t="n">
        <f aca="false">F51+G51+H51</f>
        <v>0</v>
      </c>
      <c r="K51" s="5" t="n">
        <f aca="false">IFERROR(J51/I51,0)</f>
        <v>0</v>
      </c>
    </row>
    <row r="52" customFormat="false" ht="15" hidden="false" customHeight="false" outlineLevel="0" collapsed="false">
      <c r="A52" s="2" t="s">
        <v>61</v>
      </c>
      <c r="B52" s="3" t="n">
        <v>1239</v>
      </c>
      <c r="C52" s="3" t="n">
        <v>1158</v>
      </c>
      <c r="D52" s="4" t="n">
        <v>93.46</v>
      </c>
      <c r="E52" s="3" t="n">
        <v>80</v>
      </c>
      <c r="F52" s="3" t="n">
        <v>1</v>
      </c>
      <c r="G52" s="3" t="n">
        <v>0</v>
      </c>
      <c r="H52" s="3" t="n">
        <v>0</v>
      </c>
      <c r="I52" s="3" t="n">
        <f aca="false">B52-C52</f>
        <v>81</v>
      </c>
      <c r="J52" s="3" t="n">
        <f aca="false">F52+G52+H52</f>
        <v>1</v>
      </c>
      <c r="K52" s="5" t="n">
        <f aca="false">IFERROR(J52/I52,0)</f>
        <v>0.0123456790123457</v>
      </c>
    </row>
    <row r="53" customFormat="false" ht="15" hidden="false" customHeight="false" outlineLevel="0" collapsed="false">
      <c r="A53" s="2" t="s">
        <v>62</v>
      </c>
      <c r="B53" s="3" t="n">
        <v>3508</v>
      </c>
      <c r="C53" s="3" t="n">
        <v>3499</v>
      </c>
      <c r="D53" s="4" t="n">
        <v>99.74</v>
      </c>
      <c r="E53" s="3" t="n">
        <v>9</v>
      </c>
      <c r="F53" s="3" t="n">
        <v>0</v>
      </c>
      <c r="G53" s="3" t="n">
        <v>0</v>
      </c>
      <c r="H53" s="3" t="n">
        <v>0</v>
      </c>
      <c r="I53" s="3" t="n">
        <f aca="false">B53-C53</f>
        <v>9</v>
      </c>
      <c r="J53" s="3" t="n">
        <f aca="false">F53+G53+H53</f>
        <v>0</v>
      </c>
      <c r="K53" s="5" t="n">
        <f aca="false">IFERROR(J53/I53,0)</f>
        <v>0</v>
      </c>
    </row>
    <row r="54" customFormat="false" ht="15" hidden="false" customHeight="false" outlineLevel="0" collapsed="false">
      <c r="A54" s="2" t="s">
        <v>63</v>
      </c>
      <c r="B54" s="3" t="n">
        <v>58699</v>
      </c>
      <c r="C54" s="3" t="n">
        <v>57845</v>
      </c>
      <c r="D54" s="4" t="n">
        <v>98.55</v>
      </c>
      <c r="E54" s="3" t="n">
        <v>852</v>
      </c>
      <c r="F54" s="3" t="n">
        <v>1</v>
      </c>
      <c r="G54" s="3" t="n">
        <v>1</v>
      </c>
      <c r="H54" s="3" t="n">
        <v>0</v>
      </c>
      <c r="I54" s="3" t="n">
        <f aca="false">B54-C54</f>
        <v>854</v>
      </c>
      <c r="J54" s="3" t="n">
        <f aca="false">F54+G54+H54</f>
        <v>2</v>
      </c>
      <c r="K54" s="5" t="n">
        <f aca="false">IFERROR(J54/I54,0)</f>
        <v>0.00234192037470726</v>
      </c>
    </row>
    <row r="55" customFormat="false" ht="15" hidden="false" customHeight="false" outlineLevel="0" collapsed="false">
      <c r="A55" s="2" t="s">
        <v>64</v>
      </c>
      <c r="B55" s="3" t="n">
        <v>670</v>
      </c>
      <c r="C55" s="3" t="n">
        <v>656</v>
      </c>
      <c r="D55" s="4" t="n">
        <v>97.91</v>
      </c>
      <c r="E55" s="3" t="n">
        <v>9</v>
      </c>
      <c r="F55" s="3" t="n">
        <v>5</v>
      </c>
      <c r="G55" s="3" t="n">
        <v>0</v>
      </c>
      <c r="H55" s="3" t="n">
        <v>0</v>
      </c>
      <c r="I55" s="3" t="n">
        <f aca="false">B55-C55</f>
        <v>14</v>
      </c>
      <c r="J55" s="3" t="n">
        <f aca="false">F55+G55+H55</f>
        <v>5</v>
      </c>
      <c r="K55" s="5" t="n">
        <f aca="false">IFERROR(J55/I55,0)</f>
        <v>0.357142857142857</v>
      </c>
    </row>
    <row r="56" customFormat="false" ht="15" hidden="false" customHeight="false" outlineLevel="0" collapsed="false">
      <c r="A56" s="2" t="s">
        <v>65</v>
      </c>
      <c r="B56" s="3" t="n">
        <v>30265</v>
      </c>
      <c r="C56" s="3" t="n">
        <v>26030</v>
      </c>
      <c r="D56" s="4" t="n">
        <v>86.01</v>
      </c>
      <c r="E56" s="3" t="n">
        <v>3410</v>
      </c>
      <c r="F56" s="3" t="n">
        <v>801</v>
      </c>
      <c r="G56" s="3" t="n">
        <v>24</v>
      </c>
      <c r="H56" s="3" t="n">
        <v>0</v>
      </c>
      <c r="I56" s="3" t="n">
        <f aca="false">B56-C56</f>
        <v>4235</v>
      </c>
      <c r="J56" s="3" t="n">
        <f aca="false">F56+G56+H56</f>
        <v>825</v>
      </c>
      <c r="K56" s="5" t="n">
        <f aca="false">IFERROR(J56/I56,0)</f>
        <v>0.194805194805195</v>
      </c>
    </row>
    <row r="57" customFormat="false" ht="15" hidden="false" customHeight="false" outlineLevel="0" collapsed="false">
      <c r="A57" s="2" t="s">
        <v>66</v>
      </c>
      <c r="B57" s="3" t="n">
        <v>535</v>
      </c>
      <c r="C57" s="3" t="n">
        <v>471</v>
      </c>
      <c r="D57" s="4" t="n">
        <v>88.04</v>
      </c>
      <c r="E57" s="3" t="n">
        <v>64</v>
      </c>
      <c r="F57" s="3" t="n">
        <v>0</v>
      </c>
      <c r="G57" s="3" t="n">
        <v>0</v>
      </c>
      <c r="H57" s="3" t="n">
        <v>0</v>
      </c>
      <c r="I57" s="3" t="n">
        <f aca="false">B57-C57</f>
        <v>64</v>
      </c>
      <c r="J57" s="3" t="n">
        <f aca="false">F57+G57+H57</f>
        <v>0</v>
      </c>
      <c r="K57" s="5" t="n">
        <f aca="false">IFERROR(J57/I57,0)</f>
        <v>0</v>
      </c>
    </row>
    <row r="58" customFormat="false" ht="15" hidden="false" customHeight="false" outlineLevel="0" collapsed="false">
      <c r="A58" s="2" t="s">
        <v>67</v>
      </c>
      <c r="B58" s="3" t="n">
        <v>1799</v>
      </c>
      <c r="C58" s="3" t="n">
        <v>1628</v>
      </c>
      <c r="D58" s="4" t="n">
        <v>90.49</v>
      </c>
      <c r="E58" s="3" t="n">
        <v>153</v>
      </c>
      <c r="F58" s="3" t="n">
        <v>17</v>
      </c>
      <c r="G58" s="3" t="n">
        <v>1</v>
      </c>
      <c r="H58" s="3" t="n">
        <v>0</v>
      </c>
      <c r="I58" s="3" t="n">
        <f aca="false">B58-C58</f>
        <v>171</v>
      </c>
      <c r="J58" s="3" t="n">
        <f aca="false">F58+G58+H58</f>
        <v>18</v>
      </c>
      <c r="K58" s="5" t="n">
        <f aca="false">IFERROR(J58/I58,0)</f>
        <v>0.105263157894737</v>
      </c>
    </row>
    <row r="59" customFormat="false" ht="15" hidden="false" customHeight="false" outlineLevel="0" collapsed="false">
      <c r="A59" s="2" t="s">
        <v>68</v>
      </c>
      <c r="B59" s="3" t="n">
        <v>2663</v>
      </c>
      <c r="C59" s="3" t="n">
        <v>2616</v>
      </c>
      <c r="D59" s="4" t="n">
        <v>98.24</v>
      </c>
      <c r="E59" s="3" t="n">
        <v>47</v>
      </c>
      <c r="F59" s="3" t="n">
        <v>0</v>
      </c>
      <c r="G59" s="3" t="n">
        <v>0</v>
      </c>
      <c r="H59" s="3" t="n">
        <v>0</v>
      </c>
      <c r="I59" s="3" t="n">
        <f aca="false">B59-C59</f>
        <v>47</v>
      </c>
      <c r="J59" s="3" t="n">
        <f aca="false">F59+G59+H59</f>
        <v>0</v>
      </c>
      <c r="K59" s="5" t="n">
        <f aca="false">IFERROR(J59/I59,0)</f>
        <v>0</v>
      </c>
    </row>
    <row r="60" customFormat="false" ht="15" hidden="false" customHeight="false" outlineLevel="0" collapsed="false">
      <c r="A60" s="2" t="s">
        <v>69</v>
      </c>
      <c r="B60" s="3" t="n">
        <v>48777</v>
      </c>
      <c r="C60" s="3" t="n">
        <v>44188</v>
      </c>
      <c r="D60" s="4" t="n">
        <v>90.59</v>
      </c>
      <c r="E60" s="3" t="n">
        <v>4095</v>
      </c>
      <c r="F60" s="3" t="n">
        <v>493</v>
      </c>
      <c r="G60" s="3" t="n">
        <v>1</v>
      </c>
      <c r="H60" s="3" t="n">
        <v>0</v>
      </c>
      <c r="I60" s="3" t="n">
        <f aca="false">B60-C60</f>
        <v>4589</v>
      </c>
      <c r="J60" s="3" t="n">
        <f aca="false">F60+G60+H60</f>
        <v>494</v>
      </c>
      <c r="K60" s="5" t="n">
        <f aca="false">IFERROR(J60/I60,0)</f>
        <v>0.107648725212465</v>
      </c>
    </row>
    <row r="61" customFormat="false" ht="15" hidden="false" customHeight="false" outlineLevel="0" collapsed="false">
      <c r="A61" s="2" t="s">
        <v>70</v>
      </c>
      <c r="B61" s="3" t="n">
        <v>201</v>
      </c>
      <c r="C61" s="3" t="n">
        <v>198</v>
      </c>
      <c r="D61" s="4" t="n">
        <v>98.51</v>
      </c>
      <c r="E61" s="3" t="n">
        <v>3</v>
      </c>
      <c r="F61" s="3" t="n">
        <v>0</v>
      </c>
      <c r="G61" s="3" t="n">
        <v>0</v>
      </c>
      <c r="H61" s="3" t="n">
        <v>0</v>
      </c>
      <c r="I61" s="3" t="n">
        <f aca="false">B61-C61</f>
        <v>3</v>
      </c>
      <c r="J61" s="3" t="n">
        <f aca="false">F61+G61+H61</f>
        <v>0</v>
      </c>
      <c r="K61" s="5" t="n">
        <f aca="false">IFERROR(J61/I61,0)</f>
        <v>0</v>
      </c>
    </row>
    <row r="62" customFormat="false" ht="15" hidden="false" customHeight="false" outlineLevel="0" collapsed="false">
      <c r="A62" s="2" t="s">
        <v>71</v>
      </c>
      <c r="B62" s="3" t="n">
        <v>1394</v>
      </c>
      <c r="C62" s="3" t="n">
        <v>1362</v>
      </c>
      <c r="D62" s="4" t="n">
        <v>97.7</v>
      </c>
      <c r="E62" s="3" t="n">
        <v>32</v>
      </c>
      <c r="F62" s="3" t="n">
        <v>0</v>
      </c>
      <c r="G62" s="3" t="n">
        <v>0</v>
      </c>
      <c r="H62" s="3" t="n">
        <v>0</v>
      </c>
      <c r="I62" s="3" t="n">
        <f aca="false">B62-C62</f>
        <v>32</v>
      </c>
      <c r="J62" s="3" t="n">
        <f aca="false">F62+G62+H62</f>
        <v>0</v>
      </c>
      <c r="K62" s="5" t="n">
        <f aca="false">IFERROR(J62/I62,0)</f>
        <v>0</v>
      </c>
    </row>
    <row r="63" customFormat="false" ht="15" hidden="false" customHeight="false" outlineLevel="0" collapsed="false">
      <c r="A63" s="2" t="s">
        <v>72</v>
      </c>
      <c r="B63" s="3" t="n">
        <v>4512</v>
      </c>
      <c r="C63" s="3" t="n">
        <v>4294</v>
      </c>
      <c r="D63" s="4" t="n">
        <v>95.17</v>
      </c>
      <c r="E63" s="3" t="n">
        <v>218</v>
      </c>
      <c r="F63" s="3" t="n">
        <v>0</v>
      </c>
      <c r="G63" s="3" t="n">
        <v>0</v>
      </c>
      <c r="H63" s="3" t="n">
        <v>0</v>
      </c>
      <c r="I63" s="3" t="n">
        <f aca="false">B63-C63</f>
        <v>218</v>
      </c>
      <c r="J63" s="3" t="n">
        <f aca="false">F63+G63+H63</f>
        <v>0</v>
      </c>
      <c r="K63" s="5" t="n">
        <f aca="false">IFERROR(J63/I63,0)</f>
        <v>0</v>
      </c>
    </row>
    <row r="64" customFormat="false" ht="15" hidden="false" customHeight="false" outlineLevel="0" collapsed="false">
      <c r="A64" s="2" t="s">
        <v>73</v>
      </c>
      <c r="B64" s="3" t="n">
        <v>18405</v>
      </c>
      <c r="C64" s="3" t="n">
        <v>16939</v>
      </c>
      <c r="D64" s="4" t="n">
        <v>92.03</v>
      </c>
      <c r="E64" s="3" t="n">
        <v>1269</v>
      </c>
      <c r="F64" s="3" t="n">
        <v>163</v>
      </c>
      <c r="G64" s="3" t="n">
        <v>34</v>
      </c>
      <c r="H64" s="3" t="n">
        <v>0</v>
      </c>
      <c r="I64" s="3" t="n">
        <f aca="false">B64-C64</f>
        <v>1466</v>
      </c>
      <c r="J64" s="3" t="n">
        <f aca="false">F64+G64+H64</f>
        <v>197</v>
      </c>
      <c r="K64" s="5" t="n">
        <f aca="false">IFERROR(J64/I64,0)</f>
        <v>0.134379263301501</v>
      </c>
    </row>
    <row r="65" customFormat="false" ht="15" hidden="false" customHeight="false" outlineLevel="0" collapsed="false">
      <c r="A65" s="2" t="s">
        <v>74</v>
      </c>
      <c r="B65" s="3" t="n">
        <v>71597</v>
      </c>
      <c r="C65" s="3" t="n">
        <v>69330</v>
      </c>
      <c r="D65" s="4" t="n">
        <v>96.83</v>
      </c>
      <c r="E65" s="3" t="n">
        <v>2237</v>
      </c>
      <c r="F65" s="3" t="n">
        <v>19</v>
      </c>
      <c r="G65" s="3" t="n">
        <v>11</v>
      </c>
      <c r="H65" s="3" t="n">
        <v>0</v>
      </c>
      <c r="I65" s="3" t="n">
        <f aca="false">B65-C65</f>
        <v>2267</v>
      </c>
      <c r="J65" s="3" t="n">
        <f aca="false">F65+G65+H65</f>
        <v>30</v>
      </c>
      <c r="K65" s="5" t="n">
        <f aca="false">IFERROR(J65/I65,0)</f>
        <v>0.0132333480370534</v>
      </c>
    </row>
    <row r="66" customFormat="false" ht="15" hidden="false" customHeight="false" outlineLevel="0" collapsed="false">
      <c r="A66" s="2" t="s">
        <v>75</v>
      </c>
      <c r="B66" s="3" t="n">
        <v>15412</v>
      </c>
      <c r="C66" s="3" t="n">
        <v>14835</v>
      </c>
      <c r="D66" s="4" t="n">
        <v>96.26</v>
      </c>
      <c r="E66" s="3" t="n">
        <v>574</v>
      </c>
      <c r="F66" s="3" t="n">
        <v>3</v>
      </c>
      <c r="G66" s="3" t="n">
        <v>0</v>
      </c>
      <c r="H66" s="3" t="n">
        <v>0</v>
      </c>
      <c r="I66" s="3" t="n">
        <f aca="false">B66-C66</f>
        <v>577</v>
      </c>
      <c r="J66" s="3" t="n">
        <f aca="false">F66+G66+H66</f>
        <v>3</v>
      </c>
      <c r="K66" s="5" t="n">
        <f aca="false">IFERROR(J66/I66,0)</f>
        <v>0.00519930675909879</v>
      </c>
    </row>
    <row r="67" customFormat="false" ht="15" hidden="false" customHeight="false" outlineLevel="0" collapsed="false">
      <c r="A67" s="2" t="s">
        <v>76</v>
      </c>
      <c r="B67" s="3" t="n">
        <v>1566</v>
      </c>
      <c r="C67" s="3" t="n">
        <v>1564</v>
      </c>
      <c r="D67" s="4" t="n">
        <v>99.87</v>
      </c>
      <c r="E67" s="3" t="n">
        <v>2</v>
      </c>
      <c r="F67" s="3" t="n">
        <v>0</v>
      </c>
      <c r="G67" s="3" t="n">
        <v>0</v>
      </c>
      <c r="H67" s="3" t="n">
        <v>0</v>
      </c>
      <c r="I67" s="3" t="n">
        <f aca="false">B67-C67</f>
        <v>2</v>
      </c>
      <c r="J67" s="3" t="n">
        <f aca="false">F67+G67+H67</f>
        <v>0</v>
      </c>
      <c r="K67" s="5" t="n">
        <f aca="false">IFERROR(J67/I67,0)</f>
        <v>0</v>
      </c>
    </row>
    <row r="68" customFormat="false" ht="15" hidden="false" customHeight="false" outlineLevel="0" collapsed="false">
      <c r="A68" s="2" t="s">
        <v>77</v>
      </c>
      <c r="B68" s="3" t="n">
        <v>3572</v>
      </c>
      <c r="C68" s="3" t="n">
        <v>3380</v>
      </c>
      <c r="D68" s="4" t="n">
        <v>94.62</v>
      </c>
      <c r="E68" s="3" t="n">
        <v>192</v>
      </c>
      <c r="F68" s="3" t="n">
        <v>0</v>
      </c>
      <c r="G68" s="3" t="n">
        <v>0</v>
      </c>
      <c r="H68" s="3" t="n">
        <v>0</v>
      </c>
      <c r="I68" s="3" t="n">
        <f aca="false">B68-C68</f>
        <v>192</v>
      </c>
      <c r="J68" s="3" t="n">
        <f aca="false">F68+G68+H68</f>
        <v>0</v>
      </c>
      <c r="K68" s="5" t="n">
        <f aca="false">IFERROR(J68/I68,0)</f>
        <v>0</v>
      </c>
    </row>
    <row r="69" customFormat="false" ht="15" hidden="false" customHeight="false" outlineLevel="0" collapsed="false">
      <c r="A69" s="2" t="s">
        <v>78</v>
      </c>
      <c r="B69" s="3" t="n">
        <v>1662</v>
      </c>
      <c r="C69" s="3" t="n">
        <v>1586</v>
      </c>
      <c r="D69" s="4" t="n">
        <v>95.43</v>
      </c>
      <c r="E69" s="3" t="n">
        <v>76</v>
      </c>
      <c r="F69" s="3" t="n">
        <v>0</v>
      </c>
      <c r="G69" s="3" t="n">
        <v>0</v>
      </c>
      <c r="H69" s="3" t="n">
        <v>0</v>
      </c>
      <c r="I69" s="3" t="n">
        <f aca="false">B69-C69</f>
        <v>76</v>
      </c>
      <c r="J69" s="3" t="n">
        <f aca="false">F69+G69+H69</f>
        <v>0</v>
      </c>
      <c r="K69" s="5" t="n">
        <f aca="false">IFERROR(J69/I69,0)</f>
        <v>0</v>
      </c>
    </row>
    <row r="70" customFormat="false" ht="15" hidden="false" customHeight="false" outlineLevel="0" collapsed="false">
      <c r="A70" s="2" t="s">
        <v>79</v>
      </c>
      <c r="B70" s="3" t="n">
        <v>23784</v>
      </c>
      <c r="C70" s="3" t="n">
        <v>22198</v>
      </c>
      <c r="D70" s="4" t="n">
        <v>93.33</v>
      </c>
      <c r="E70" s="3" t="n">
        <v>1551</v>
      </c>
      <c r="F70" s="3" t="n">
        <v>29</v>
      </c>
      <c r="G70" s="3" t="n">
        <v>6</v>
      </c>
      <c r="H70" s="3" t="n">
        <v>0</v>
      </c>
      <c r="I70" s="3" t="n">
        <f aca="false">B70-C70</f>
        <v>1586</v>
      </c>
      <c r="J70" s="3" t="n">
        <f aca="false">F70+G70+H70</f>
        <v>35</v>
      </c>
      <c r="K70" s="5" t="n">
        <f aca="false">IFERROR(J70/I70,0)</f>
        <v>0.0220680958385876</v>
      </c>
    </row>
    <row r="71" customFormat="false" ht="15" hidden="false" customHeight="false" outlineLevel="0" collapsed="false">
      <c r="A71" s="2" t="s">
        <v>80</v>
      </c>
      <c r="B71" s="3" t="n">
        <v>6364</v>
      </c>
      <c r="C71" s="3" t="n">
        <v>6177</v>
      </c>
      <c r="D71" s="4" t="n">
        <v>97.06</v>
      </c>
      <c r="E71" s="3" t="n">
        <v>180</v>
      </c>
      <c r="F71" s="3" t="n">
        <v>3</v>
      </c>
      <c r="G71" s="3" t="n">
        <v>4</v>
      </c>
      <c r="H71" s="3" t="n">
        <v>0</v>
      </c>
      <c r="I71" s="3" t="n">
        <f aca="false">B71-C71</f>
        <v>187</v>
      </c>
      <c r="J71" s="3" t="n">
        <f aca="false">F71+G71+H71</f>
        <v>7</v>
      </c>
      <c r="K71" s="5" t="n">
        <f aca="false">IFERROR(J71/I71,0)</f>
        <v>0.0374331550802139</v>
      </c>
    </row>
    <row r="72" customFormat="false" ht="15" hidden="false" customHeight="false" outlineLevel="0" collapsed="false">
      <c r="A72" s="2" t="s">
        <v>81</v>
      </c>
      <c r="B72" s="3" t="n">
        <v>7320</v>
      </c>
      <c r="C72" s="3" t="n">
        <v>7161</v>
      </c>
      <c r="D72" s="4" t="n">
        <v>97.83</v>
      </c>
      <c r="E72" s="3" t="n">
        <v>159</v>
      </c>
      <c r="F72" s="3" t="n">
        <v>0</v>
      </c>
      <c r="G72" s="3" t="n">
        <v>0</v>
      </c>
      <c r="H72" s="3" t="n">
        <v>0</v>
      </c>
      <c r="I72" s="3" t="n">
        <f aca="false">B72-C72</f>
        <v>159</v>
      </c>
      <c r="J72" s="3" t="n">
        <f aca="false">F72+G72+H72</f>
        <v>0</v>
      </c>
      <c r="K72" s="5" t="n">
        <f aca="false">IFERROR(J72/I72,0)</f>
        <v>0</v>
      </c>
    </row>
    <row r="73" customFormat="false" ht="15" hidden="false" customHeight="false" outlineLevel="0" collapsed="false">
      <c r="A73" s="2" t="s">
        <v>82</v>
      </c>
      <c r="B73" s="3" t="n">
        <v>19123</v>
      </c>
      <c r="C73" s="3" t="n">
        <v>18766</v>
      </c>
      <c r="D73" s="4" t="n">
        <v>98.13</v>
      </c>
      <c r="E73" s="3" t="n">
        <v>357</v>
      </c>
      <c r="F73" s="3" t="n">
        <v>0</v>
      </c>
      <c r="G73" s="3" t="n">
        <v>0</v>
      </c>
      <c r="H73" s="3" t="n">
        <v>0</v>
      </c>
      <c r="I73" s="3" t="n">
        <f aca="false">B73-C73</f>
        <v>357</v>
      </c>
      <c r="J73" s="3" t="n">
        <f aca="false">F73+G73+H73</f>
        <v>0</v>
      </c>
      <c r="K73" s="5" t="n">
        <f aca="false">IFERROR(J73/I73,0)</f>
        <v>0</v>
      </c>
    </row>
    <row r="74" customFormat="false" ht="15" hidden="false" customHeight="false" outlineLevel="0" collapsed="false">
      <c r="A74" s="2" t="s">
        <v>83</v>
      </c>
      <c r="B74" s="3" t="n">
        <v>8186</v>
      </c>
      <c r="C74" s="3" t="n">
        <v>7789</v>
      </c>
      <c r="D74" s="4" t="n">
        <v>95.15</v>
      </c>
      <c r="E74" s="3" t="n">
        <v>388</v>
      </c>
      <c r="F74" s="3" t="n">
        <v>9</v>
      </c>
      <c r="G74" s="3" t="n">
        <v>0</v>
      </c>
      <c r="H74" s="3" t="n">
        <v>0</v>
      </c>
      <c r="I74" s="3" t="n">
        <f aca="false">B74-C74</f>
        <v>397</v>
      </c>
      <c r="J74" s="3" t="n">
        <f aca="false">F74+G74+H74</f>
        <v>9</v>
      </c>
      <c r="K74" s="5" t="n">
        <f aca="false">IFERROR(J74/I74,0)</f>
        <v>0.0226700251889169</v>
      </c>
    </row>
    <row r="75" customFormat="false" ht="15" hidden="false" customHeight="false" outlineLevel="0" collapsed="false">
      <c r="A75" s="2" t="s">
        <v>84</v>
      </c>
      <c r="B75" s="3" t="n">
        <v>4245</v>
      </c>
      <c r="C75" s="3" t="n">
        <v>4119</v>
      </c>
      <c r="D75" s="4" t="n">
        <v>97.03</v>
      </c>
      <c r="E75" s="3" t="n">
        <v>126</v>
      </c>
      <c r="F75" s="3" t="n">
        <v>0</v>
      </c>
      <c r="G75" s="3" t="n">
        <v>0</v>
      </c>
      <c r="H75" s="3" t="n">
        <v>0</v>
      </c>
      <c r="I75" s="3" t="n">
        <f aca="false">B75-C75</f>
        <v>126</v>
      </c>
      <c r="J75" s="3" t="n">
        <f aca="false">F75+G75+H75</f>
        <v>0</v>
      </c>
      <c r="K75" s="5" t="n">
        <f aca="false">IFERROR(J75/I75,0)</f>
        <v>0</v>
      </c>
    </row>
    <row r="76" customFormat="false" ht="15" hidden="false" customHeight="false" outlineLevel="0" collapsed="false">
      <c r="A76" s="2" t="s">
        <v>85</v>
      </c>
      <c r="B76" s="3" t="n">
        <v>252487</v>
      </c>
      <c r="C76" s="3" t="n">
        <v>236425</v>
      </c>
      <c r="D76" s="4" t="n">
        <v>93.64</v>
      </c>
      <c r="E76" s="3" t="n">
        <v>15288</v>
      </c>
      <c r="F76" s="3" t="n">
        <v>736</v>
      </c>
      <c r="G76" s="3" t="n">
        <v>38</v>
      </c>
      <c r="H76" s="3" t="n">
        <v>0</v>
      </c>
      <c r="I76" s="3" t="n">
        <f aca="false">B76-C76</f>
        <v>16062</v>
      </c>
      <c r="J76" s="3" t="n">
        <f aca="false">F76+G76+H76</f>
        <v>774</v>
      </c>
      <c r="K76" s="5" t="n">
        <f aca="false">IFERROR(J76/I76,0)</f>
        <v>0.0481882704519985</v>
      </c>
    </row>
    <row r="77" customFormat="false" ht="15" hidden="false" customHeight="false" outlineLevel="0" collapsed="false">
      <c r="A77" s="2" t="s">
        <v>86</v>
      </c>
      <c r="B77" s="3" t="n">
        <v>1575</v>
      </c>
      <c r="C77" s="3" t="n">
        <v>1507</v>
      </c>
      <c r="D77" s="4" t="n">
        <v>95.68</v>
      </c>
      <c r="E77" s="3" t="n">
        <v>63</v>
      </c>
      <c r="F77" s="3" t="n">
        <v>4</v>
      </c>
      <c r="G77" s="3" t="n">
        <v>1</v>
      </c>
      <c r="H77" s="3" t="n">
        <v>0</v>
      </c>
      <c r="I77" s="3" t="n">
        <f aca="false">B77-C77</f>
        <v>68</v>
      </c>
      <c r="J77" s="3" t="n">
        <f aca="false">F77+G77+H77</f>
        <v>5</v>
      </c>
      <c r="K77" s="5" t="n">
        <f aca="false">IFERROR(J77/I77,0)</f>
        <v>0.0735294117647059</v>
      </c>
    </row>
    <row r="78" customFormat="false" ht="15" hidden="false" customHeight="false" outlineLevel="0" collapsed="false">
      <c r="A78" s="2" t="s">
        <v>87</v>
      </c>
      <c r="B78" s="3" t="n">
        <v>2806</v>
      </c>
      <c r="C78" s="3" t="n">
        <v>2591</v>
      </c>
      <c r="D78" s="4" t="n">
        <v>92.34</v>
      </c>
      <c r="E78" s="3" t="n">
        <v>215</v>
      </c>
      <c r="F78" s="3" t="n">
        <v>0</v>
      </c>
      <c r="G78" s="3" t="n">
        <v>0</v>
      </c>
      <c r="H78" s="3" t="n">
        <v>0</v>
      </c>
      <c r="I78" s="3" t="n">
        <f aca="false">B78-C78</f>
        <v>215</v>
      </c>
      <c r="J78" s="3" t="n">
        <f aca="false">F78+G78+H78</f>
        <v>0</v>
      </c>
      <c r="K78" s="5" t="n">
        <f aca="false">IFERROR(J78/I78,0)</f>
        <v>0</v>
      </c>
    </row>
    <row r="79" customFormat="false" ht="15" hidden="false" customHeight="false" outlineLevel="0" collapsed="false">
      <c r="A79" s="2" t="s">
        <v>88</v>
      </c>
      <c r="B79" s="3" t="n">
        <v>17438</v>
      </c>
      <c r="C79" s="3" t="n">
        <v>15603</v>
      </c>
      <c r="D79" s="4" t="n">
        <v>89.48</v>
      </c>
      <c r="E79" s="3" t="n">
        <v>1307</v>
      </c>
      <c r="F79" s="3" t="n">
        <v>439</v>
      </c>
      <c r="G79" s="3" t="n">
        <v>89</v>
      </c>
      <c r="H79" s="3" t="n">
        <v>0</v>
      </c>
      <c r="I79" s="3" t="n">
        <f aca="false">B79-C79</f>
        <v>1835</v>
      </c>
      <c r="J79" s="3" t="n">
        <f aca="false">F79+G79+H79</f>
        <v>528</v>
      </c>
      <c r="K79" s="5" t="n">
        <f aca="false">IFERROR(J79/I79,0)</f>
        <v>0.287738419618529</v>
      </c>
    </row>
    <row r="80" customFormat="false" ht="15" hidden="false" customHeight="false" outlineLevel="0" collapsed="false">
      <c r="A80" s="2" t="s">
        <v>89</v>
      </c>
      <c r="B80" s="3" t="n">
        <v>72069</v>
      </c>
      <c r="C80" s="3" t="n">
        <v>68663</v>
      </c>
      <c r="D80" s="4" t="n">
        <v>95.27</v>
      </c>
      <c r="E80" s="3" t="n">
        <v>3123</v>
      </c>
      <c r="F80" s="3" t="n">
        <v>257</v>
      </c>
      <c r="G80" s="3" t="n">
        <v>26</v>
      </c>
      <c r="H80" s="3" t="n">
        <v>0</v>
      </c>
      <c r="I80" s="3" t="n">
        <f aca="false">B80-C80</f>
        <v>3406</v>
      </c>
      <c r="J80" s="3" t="n">
        <f aca="false">F80+G80+H80</f>
        <v>283</v>
      </c>
      <c r="K80" s="5" t="n">
        <f aca="false">IFERROR(J80/I80,0)</f>
        <v>0.0830886670581327</v>
      </c>
    </row>
    <row r="81" customFormat="false" ht="15" hidden="false" customHeight="false" outlineLevel="0" collapsed="false">
      <c r="A81" s="2" t="s">
        <v>90</v>
      </c>
      <c r="B81" s="3" t="n">
        <v>46856</v>
      </c>
      <c r="C81" s="3" t="n">
        <v>45025</v>
      </c>
      <c r="D81" s="4" t="n">
        <v>96.09</v>
      </c>
      <c r="E81" s="3" t="n">
        <v>1770</v>
      </c>
      <c r="F81" s="3" t="n">
        <v>57</v>
      </c>
      <c r="G81" s="3" t="n">
        <v>4</v>
      </c>
      <c r="H81" s="3" t="n">
        <v>0</v>
      </c>
      <c r="I81" s="3" t="n">
        <f aca="false">B81-C81</f>
        <v>1831</v>
      </c>
      <c r="J81" s="3" t="n">
        <f aca="false">F81+G81+H81</f>
        <v>61</v>
      </c>
      <c r="K81" s="5" t="n">
        <f aca="false">IFERROR(J81/I81,0)</f>
        <v>0.0333151283451666</v>
      </c>
    </row>
    <row r="82" customFormat="false" ht="15" hidden="false" customHeight="false" outlineLevel="0" collapsed="false">
      <c r="A82" s="2" t="s">
        <v>91</v>
      </c>
      <c r="B82" s="3" t="n">
        <v>11936</v>
      </c>
      <c r="C82" s="3" t="n">
        <v>10971</v>
      </c>
      <c r="D82" s="4" t="n">
        <v>91.92</v>
      </c>
      <c r="E82" s="3" t="n">
        <v>960</v>
      </c>
      <c r="F82" s="3" t="n">
        <v>5</v>
      </c>
      <c r="G82" s="3" t="n">
        <v>0</v>
      </c>
      <c r="H82" s="3" t="n">
        <v>0</v>
      </c>
      <c r="I82" s="3" t="n">
        <f aca="false">B82-C82</f>
        <v>965</v>
      </c>
      <c r="J82" s="3" t="n">
        <f aca="false">F82+G82+H82</f>
        <v>5</v>
      </c>
      <c r="K82" s="5" t="n">
        <f aca="false">IFERROR(J82/I82,0)</f>
        <v>0.00518134715025907</v>
      </c>
    </row>
    <row r="83" customFormat="false" ht="15" hidden="false" customHeight="false" outlineLevel="0" collapsed="false">
      <c r="A83" s="2" t="s">
        <v>92</v>
      </c>
      <c r="B83" s="3" t="n">
        <v>483</v>
      </c>
      <c r="C83" s="3" t="n">
        <v>466</v>
      </c>
      <c r="D83" s="4" t="n">
        <v>96.48</v>
      </c>
      <c r="E83" s="3" t="n">
        <v>17</v>
      </c>
      <c r="F83" s="3" t="n">
        <v>0</v>
      </c>
      <c r="G83" s="3" t="n">
        <v>0</v>
      </c>
      <c r="H83" s="3" t="n">
        <v>0</v>
      </c>
      <c r="I83" s="3" t="n">
        <f aca="false">B83-C83</f>
        <v>17</v>
      </c>
      <c r="J83" s="3" t="n">
        <f aca="false">F83+G83+H83</f>
        <v>0</v>
      </c>
      <c r="K83" s="5" t="n">
        <f aca="false">IFERROR(J83/I83,0)</f>
        <v>0</v>
      </c>
    </row>
    <row r="84" customFormat="false" ht="15" hidden="false" customHeight="false" outlineLevel="0" collapsed="false">
      <c r="A84" s="2" t="s">
        <v>93</v>
      </c>
      <c r="B84" s="3" t="n">
        <v>1494</v>
      </c>
      <c r="C84" s="3" t="n">
        <v>1456</v>
      </c>
      <c r="D84" s="4" t="n">
        <v>97.46</v>
      </c>
      <c r="E84" s="3" t="n">
        <v>38</v>
      </c>
      <c r="F84" s="3" t="n">
        <v>0</v>
      </c>
      <c r="G84" s="3" t="n">
        <v>0</v>
      </c>
      <c r="H84" s="3" t="n">
        <v>0</v>
      </c>
      <c r="I84" s="3" t="n">
        <f aca="false">B84-C84</f>
        <v>38</v>
      </c>
      <c r="J84" s="3" t="n">
        <f aca="false">F84+G84+H84</f>
        <v>0</v>
      </c>
      <c r="K84" s="5" t="n">
        <f aca="false">IFERROR(J84/I84,0)</f>
        <v>0</v>
      </c>
    </row>
    <row r="85" customFormat="false" ht="15" hidden="false" customHeight="false" outlineLevel="0" collapsed="false">
      <c r="A85" s="2" t="s">
        <v>94</v>
      </c>
      <c r="B85" s="3" t="n">
        <v>915</v>
      </c>
      <c r="C85" s="3" t="n">
        <v>876</v>
      </c>
      <c r="D85" s="4" t="n">
        <v>95.74</v>
      </c>
      <c r="E85" s="3" t="n">
        <v>39</v>
      </c>
      <c r="F85" s="3" t="n">
        <v>0</v>
      </c>
      <c r="G85" s="3" t="n">
        <v>0</v>
      </c>
      <c r="H85" s="3" t="n">
        <v>0</v>
      </c>
      <c r="I85" s="3" t="n">
        <f aca="false">B85-C85</f>
        <v>39</v>
      </c>
      <c r="J85" s="3" t="n">
        <f aca="false">F85+G85+H85</f>
        <v>0</v>
      </c>
      <c r="K85" s="5" t="n">
        <f aca="false">IFERROR(J85/I85,0)</f>
        <v>0</v>
      </c>
    </row>
    <row r="86" customFormat="false" ht="15" hidden="false" customHeight="false" outlineLevel="0" collapsed="false">
      <c r="A86" s="2" t="s">
        <v>95</v>
      </c>
      <c r="B86" s="3" t="n">
        <v>64402</v>
      </c>
      <c r="C86" s="3" t="n">
        <v>48910</v>
      </c>
      <c r="D86" s="4" t="n">
        <v>75.94</v>
      </c>
      <c r="E86" s="3" t="n">
        <v>9781</v>
      </c>
      <c r="F86" s="3" t="n">
        <v>5696</v>
      </c>
      <c r="G86" s="3" t="n">
        <v>15</v>
      </c>
      <c r="H86" s="3" t="n">
        <v>0</v>
      </c>
      <c r="I86" s="3" t="n">
        <f aca="false">B86-C86</f>
        <v>15492</v>
      </c>
      <c r="J86" s="3" t="n">
        <f aca="false">F86+G86+H86</f>
        <v>5711</v>
      </c>
      <c r="K86" s="5" t="n">
        <f aca="false">IFERROR(J86/I86,0)</f>
        <v>0.368641879679835</v>
      </c>
    </row>
    <row r="87" customFormat="false" ht="15" hidden="false" customHeight="false" outlineLevel="0" collapsed="false">
      <c r="A87" s="2" t="s">
        <v>96</v>
      </c>
      <c r="B87" s="3" t="n">
        <v>11367</v>
      </c>
      <c r="C87" s="3" t="n">
        <v>11124</v>
      </c>
      <c r="D87" s="4" t="n">
        <v>97.86</v>
      </c>
      <c r="E87" s="3" t="n">
        <v>241</v>
      </c>
      <c r="F87" s="3" t="n">
        <v>2</v>
      </c>
      <c r="G87" s="3" t="n">
        <v>0</v>
      </c>
      <c r="H87" s="3" t="n">
        <v>0</v>
      </c>
      <c r="I87" s="3" t="n">
        <f aca="false">B87-C87</f>
        <v>243</v>
      </c>
      <c r="J87" s="3" t="n">
        <f aca="false">F87+G87+H87</f>
        <v>2</v>
      </c>
      <c r="K87" s="5" t="n">
        <f aca="false">IFERROR(J87/I87,0)</f>
        <v>0.00823045267489712</v>
      </c>
    </row>
    <row r="88" customFormat="false" ht="15" hidden="false" customHeight="false" outlineLevel="0" collapsed="false">
      <c r="A88" s="2" t="s">
        <v>97</v>
      </c>
      <c r="B88" s="3" t="n">
        <v>1505</v>
      </c>
      <c r="C88" s="3" t="n">
        <v>1471</v>
      </c>
      <c r="D88" s="4" t="n">
        <v>97.74</v>
      </c>
      <c r="E88" s="3" t="n">
        <v>34</v>
      </c>
      <c r="F88" s="3" t="n">
        <v>0</v>
      </c>
      <c r="G88" s="3" t="n">
        <v>0</v>
      </c>
      <c r="H88" s="3" t="n">
        <v>0</v>
      </c>
      <c r="I88" s="3" t="n">
        <f aca="false">B88-C88</f>
        <v>34</v>
      </c>
      <c r="J88" s="3" t="n">
        <f aca="false">F88+G88+H88</f>
        <v>0</v>
      </c>
      <c r="K88" s="5" t="n">
        <f aca="false">IFERROR(J88/I88,0)</f>
        <v>0</v>
      </c>
    </row>
    <row r="89" customFormat="false" ht="15" hidden="false" customHeight="false" outlineLevel="0" collapsed="false">
      <c r="A89" s="2" t="s">
        <v>98</v>
      </c>
      <c r="B89" s="3" t="n">
        <v>2262</v>
      </c>
      <c r="C89" s="3" t="n">
        <v>2170</v>
      </c>
      <c r="D89" s="4" t="n">
        <v>95.93</v>
      </c>
      <c r="E89" s="3" t="n">
        <v>92</v>
      </c>
      <c r="F89" s="3" t="n">
        <v>0</v>
      </c>
      <c r="G89" s="3" t="n">
        <v>0</v>
      </c>
      <c r="H89" s="3" t="n">
        <v>0</v>
      </c>
      <c r="I89" s="3" t="n">
        <f aca="false">B89-C89</f>
        <v>92</v>
      </c>
      <c r="J89" s="3" t="n">
        <f aca="false">F89+G89+H89</f>
        <v>0</v>
      </c>
      <c r="K89" s="5" t="n">
        <f aca="false">IFERROR(J89/I89,0)</f>
        <v>0</v>
      </c>
    </row>
    <row r="90" customFormat="false" ht="15" hidden="false" customHeight="false" outlineLevel="0" collapsed="false">
      <c r="A90" s="2" t="s">
        <v>99</v>
      </c>
      <c r="B90" s="3" t="n">
        <v>767</v>
      </c>
      <c r="C90" s="3" t="n">
        <v>735</v>
      </c>
      <c r="D90" s="4" t="n">
        <v>95.83</v>
      </c>
      <c r="E90" s="3" t="n">
        <v>32</v>
      </c>
      <c r="F90" s="3" t="n">
        <v>0</v>
      </c>
      <c r="G90" s="3" t="n">
        <v>0</v>
      </c>
      <c r="H90" s="3" t="n">
        <v>0</v>
      </c>
      <c r="I90" s="3" t="n">
        <f aca="false">B90-C90</f>
        <v>32</v>
      </c>
      <c r="J90" s="3" t="n">
        <f aca="false">F90+G90+H90</f>
        <v>0</v>
      </c>
      <c r="K90" s="5" t="n">
        <f aca="false">IFERROR(J90/I90,0)</f>
        <v>0</v>
      </c>
    </row>
    <row r="91" customFormat="false" ht="15" hidden="false" customHeight="false" outlineLevel="0" collapsed="false">
      <c r="A91" s="2" t="s">
        <v>100</v>
      </c>
      <c r="B91" s="3" t="n">
        <v>41924</v>
      </c>
      <c r="C91" s="3" t="n">
        <v>39022</v>
      </c>
      <c r="D91" s="4" t="n">
        <v>93.08</v>
      </c>
      <c r="E91" s="3" t="n">
        <v>2885</v>
      </c>
      <c r="F91" s="3" t="n">
        <v>17</v>
      </c>
      <c r="G91" s="3" t="n">
        <v>0</v>
      </c>
      <c r="H91" s="3" t="n">
        <v>0</v>
      </c>
      <c r="I91" s="3" t="n">
        <f aca="false">B91-C91</f>
        <v>2902</v>
      </c>
      <c r="J91" s="3" t="n">
        <f aca="false">F91+G91+H91</f>
        <v>17</v>
      </c>
      <c r="K91" s="5" t="n">
        <f aca="false">IFERROR(J91/I91,0)</f>
        <v>0.00585802894555479</v>
      </c>
    </row>
    <row r="92" customFormat="false" ht="15" hidden="false" customHeight="false" outlineLevel="0" collapsed="false">
      <c r="A92" s="6" t="s">
        <v>101</v>
      </c>
      <c r="B92" s="7" t="n">
        <f aca="false">SUM(B2:B91)</f>
        <v>1669756</v>
      </c>
      <c r="C92" s="7" t="n">
        <f aca="false">SUM(C2:C91)</f>
        <v>1579001</v>
      </c>
      <c r="D92" s="8" t="n">
        <f aca="false">IFERROR(C92/B92*100,0)</f>
        <v>94.5647747335539</v>
      </c>
      <c r="E92" s="7" t="n">
        <f aca="false">SUM(E2:E91)</f>
        <v>79877</v>
      </c>
      <c r="F92" s="7" t="n">
        <f aca="false">SUM(F2:F91)</f>
        <v>10372</v>
      </c>
      <c r="G92" s="7" t="n">
        <f aca="false">SUM(G2:G91)</f>
        <v>506</v>
      </c>
      <c r="H92" s="7" t="n">
        <f aca="false">SUM(H2:H91)</f>
        <v>0</v>
      </c>
      <c r="I92" s="7" t="n">
        <f aca="false">SUM(I2:I91)</f>
        <v>90755</v>
      </c>
      <c r="J92" s="7" t="n">
        <f aca="false">SUM(J2:J91)</f>
        <v>10878</v>
      </c>
      <c r="K92" s="9" t="n">
        <f aca="false">IFERROR(J92/I92,0)</f>
        <v>0.119861164674123</v>
      </c>
    </row>
  </sheetData>
  <autoFilter ref="A1:K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1"/>
    <col collapsed="false" customWidth="true" hidden="false" outlineLevel="0" max="5" min="4" style="0" width="12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1"/>
  </cols>
  <sheetData>
    <row r="1" customFormat="false" ht="39.55" hidden="false" customHeight="false" outlineLevel="0" collapsed="false">
      <c r="A1" s="1" t="s">
        <v>102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103</v>
      </c>
      <c r="B2" s="3" t="n">
        <v>41310</v>
      </c>
      <c r="C2" s="3" t="n">
        <v>25620</v>
      </c>
      <c r="D2" s="4" t="n">
        <v>62.02</v>
      </c>
      <c r="E2" s="3" t="n">
        <v>9612</v>
      </c>
      <c r="F2" s="3" t="n">
        <v>5572</v>
      </c>
      <c r="G2" s="3" t="n">
        <v>506</v>
      </c>
      <c r="H2" s="3" t="n">
        <v>0</v>
      </c>
      <c r="I2" s="3" t="n">
        <f aca="false">B2-C2</f>
        <v>15690</v>
      </c>
      <c r="J2" s="3" t="n">
        <f aca="false">F2+G2+H2</f>
        <v>6078</v>
      </c>
      <c r="K2" s="5" t="n">
        <f aca="false">IFERROR(J2/I2,0)</f>
        <v>0.387380497131931</v>
      </c>
    </row>
    <row r="3" customFormat="false" ht="15" hidden="false" customHeight="false" outlineLevel="0" collapsed="false">
      <c r="A3" s="2" t="s">
        <v>104</v>
      </c>
      <c r="B3" s="3" t="n">
        <v>990</v>
      </c>
      <c r="C3" s="3" t="n">
        <v>925</v>
      </c>
      <c r="D3" s="4" t="n">
        <v>93.43</v>
      </c>
      <c r="E3" s="3" t="n">
        <v>63</v>
      </c>
      <c r="F3" s="3" t="n">
        <v>2</v>
      </c>
      <c r="G3" s="3" t="n">
        <v>0</v>
      </c>
      <c r="H3" s="3" t="n">
        <v>0</v>
      </c>
      <c r="I3" s="3" t="n">
        <f aca="false">B3-C3</f>
        <v>65</v>
      </c>
      <c r="J3" s="3" t="n">
        <f aca="false">F3+G3+H3</f>
        <v>2</v>
      </c>
      <c r="K3" s="5" t="n">
        <f aca="false">IFERROR(J3/I3,0)</f>
        <v>0.0307692307692308</v>
      </c>
    </row>
    <row r="4" customFormat="false" ht="15" hidden="false" customHeight="false" outlineLevel="0" collapsed="false">
      <c r="A4" s="2" t="s">
        <v>105</v>
      </c>
      <c r="B4" s="3" t="n">
        <v>15596</v>
      </c>
      <c r="C4" s="3" t="n">
        <v>8673</v>
      </c>
      <c r="D4" s="4" t="n">
        <v>55.61</v>
      </c>
      <c r="E4" s="3" t="n">
        <v>3088</v>
      </c>
      <c r="F4" s="3" t="n">
        <v>3528</v>
      </c>
      <c r="G4" s="3" t="n">
        <v>307</v>
      </c>
      <c r="H4" s="3" t="n">
        <v>0</v>
      </c>
      <c r="I4" s="3" t="n">
        <f aca="false">B4-C4</f>
        <v>6923</v>
      </c>
      <c r="J4" s="3" t="n">
        <f aca="false">F4+G4+H4</f>
        <v>3835</v>
      </c>
      <c r="K4" s="5" t="n">
        <f aca="false">IFERROR(J4/I4,0)</f>
        <v>0.553950599451105</v>
      </c>
    </row>
    <row r="5" customFormat="false" ht="15" hidden="false" customHeight="false" outlineLevel="0" collapsed="false">
      <c r="A5" s="2" t="s">
        <v>106</v>
      </c>
      <c r="B5" s="3" t="n">
        <v>401</v>
      </c>
      <c r="C5" s="3" t="n">
        <v>204</v>
      </c>
      <c r="D5" s="4" t="n">
        <v>50.87</v>
      </c>
      <c r="E5" s="3" t="n">
        <v>79</v>
      </c>
      <c r="F5" s="3" t="n">
        <v>92</v>
      </c>
      <c r="G5" s="3" t="n">
        <v>26</v>
      </c>
      <c r="H5" s="3" t="n">
        <v>0</v>
      </c>
      <c r="I5" s="3" t="n">
        <f aca="false">B5-C5</f>
        <v>197</v>
      </c>
      <c r="J5" s="3" t="n">
        <f aca="false">F5+G5+H5</f>
        <v>118</v>
      </c>
      <c r="K5" s="5" t="n">
        <f aca="false">IFERROR(J5/I5,0)</f>
        <v>0.598984771573604</v>
      </c>
    </row>
    <row r="6" customFormat="false" ht="15" hidden="false" customHeight="false" outlineLevel="0" collapsed="false">
      <c r="A6" s="2" t="s">
        <v>107</v>
      </c>
      <c r="B6" s="3" t="n">
        <v>7322</v>
      </c>
      <c r="C6" s="3" t="n">
        <v>4582</v>
      </c>
      <c r="D6" s="4" t="n">
        <v>62.58</v>
      </c>
      <c r="E6" s="3" t="n">
        <v>1233</v>
      </c>
      <c r="F6" s="3" t="n">
        <v>1098</v>
      </c>
      <c r="G6" s="3" t="n">
        <v>409</v>
      </c>
      <c r="H6" s="3" t="n">
        <v>0</v>
      </c>
      <c r="I6" s="3" t="n">
        <f aca="false">B6-C6</f>
        <v>2740</v>
      </c>
      <c r="J6" s="3" t="n">
        <f aca="false">F6+G6+H6</f>
        <v>1507</v>
      </c>
      <c r="K6" s="5" t="n">
        <f aca="false">IFERROR(J6/I6,0)</f>
        <v>0.55</v>
      </c>
    </row>
    <row r="7" customFormat="false" ht="15" hidden="false" customHeight="false" outlineLevel="0" collapsed="false">
      <c r="A7" s="2" t="s">
        <v>108</v>
      </c>
      <c r="B7" s="3" t="n">
        <v>36248</v>
      </c>
      <c r="C7" s="3" t="n">
        <v>24848</v>
      </c>
      <c r="D7" s="4" t="n">
        <v>68.55</v>
      </c>
      <c r="E7" s="3" t="n">
        <v>7997</v>
      </c>
      <c r="F7" s="3" t="n">
        <v>2473</v>
      </c>
      <c r="G7" s="3" t="n">
        <v>930</v>
      </c>
      <c r="H7" s="3" t="n">
        <v>0</v>
      </c>
      <c r="I7" s="3" t="n">
        <f aca="false">B7-C7</f>
        <v>11400</v>
      </c>
      <c r="J7" s="3" t="n">
        <f aca="false">F7+G7+H7</f>
        <v>3403</v>
      </c>
      <c r="K7" s="5" t="n">
        <f aca="false">IFERROR(J7/I7,0)</f>
        <v>0.298508771929825</v>
      </c>
    </row>
    <row r="8" customFormat="false" ht="15" hidden="false" customHeight="false" outlineLevel="0" collapsed="false">
      <c r="A8" s="2" t="s">
        <v>109</v>
      </c>
      <c r="B8" s="3" t="n">
        <v>3026</v>
      </c>
      <c r="C8" s="3" t="n">
        <v>2828</v>
      </c>
      <c r="D8" s="4" t="n">
        <v>93.46</v>
      </c>
      <c r="E8" s="3" t="n">
        <v>180</v>
      </c>
      <c r="F8" s="3" t="n">
        <v>17</v>
      </c>
      <c r="G8" s="3" t="n">
        <v>1</v>
      </c>
      <c r="H8" s="3" t="n">
        <v>0</v>
      </c>
      <c r="I8" s="3" t="n">
        <f aca="false">B8-C8</f>
        <v>198</v>
      </c>
      <c r="J8" s="3" t="n">
        <f aca="false">F8+G8+H8</f>
        <v>18</v>
      </c>
      <c r="K8" s="5" t="n">
        <f aca="false">IFERROR(J8/I8,0)</f>
        <v>0.0909090909090909</v>
      </c>
    </row>
    <row r="9" customFormat="false" ht="15" hidden="false" customHeight="false" outlineLevel="0" collapsed="false">
      <c r="A9" s="2" t="s">
        <v>110</v>
      </c>
      <c r="B9" s="3" t="n">
        <v>11139</v>
      </c>
      <c r="C9" s="3" t="n">
        <v>5456</v>
      </c>
      <c r="D9" s="4" t="n">
        <v>48.98</v>
      </c>
      <c r="E9" s="3" t="n">
        <v>2462</v>
      </c>
      <c r="F9" s="3" t="n">
        <v>2425</v>
      </c>
      <c r="G9" s="3" t="n">
        <v>796</v>
      </c>
      <c r="H9" s="3" t="n">
        <v>0</v>
      </c>
      <c r="I9" s="3" t="n">
        <f aca="false">B9-C9</f>
        <v>5683</v>
      </c>
      <c r="J9" s="3" t="n">
        <f aca="false">F9+G9+H9</f>
        <v>3221</v>
      </c>
      <c r="K9" s="5" t="n">
        <f aca="false">IFERROR(J9/I9,0)</f>
        <v>0.566778110153088</v>
      </c>
    </row>
    <row r="10" customFormat="false" ht="15" hidden="false" customHeight="false" outlineLevel="0" collapsed="false">
      <c r="A10" s="2" t="s">
        <v>111</v>
      </c>
      <c r="B10" s="3" t="n">
        <v>154</v>
      </c>
      <c r="C10" s="3" t="n">
        <v>59</v>
      </c>
      <c r="D10" s="4" t="n">
        <v>38.31</v>
      </c>
      <c r="E10" s="3" t="n">
        <v>39</v>
      </c>
      <c r="F10" s="3" t="n">
        <v>33</v>
      </c>
      <c r="G10" s="3" t="n">
        <v>23</v>
      </c>
      <c r="H10" s="3" t="n">
        <v>0</v>
      </c>
      <c r="I10" s="3" t="n">
        <f aca="false">B10-C10</f>
        <v>95</v>
      </c>
      <c r="J10" s="3" t="n">
        <f aca="false">F10+G10+H10</f>
        <v>56</v>
      </c>
      <c r="K10" s="5" t="n">
        <f aca="false">IFERROR(J10/I10,0)</f>
        <v>0.589473684210526</v>
      </c>
    </row>
    <row r="11" customFormat="false" ht="15" hidden="false" customHeight="false" outlineLevel="0" collapsed="false">
      <c r="A11" s="2" t="s">
        <v>112</v>
      </c>
      <c r="B11" s="3" t="n">
        <v>283</v>
      </c>
      <c r="C11" s="3" t="n">
        <v>60</v>
      </c>
      <c r="D11" s="4" t="n">
        <v>21.2</v>
      </c>
      <c r="E11" s="3" t="n">
        <v>72</v>
      </c>
      <c r="F11" s="3" t="n">
        <v>98</v>
      </c>
      <c r="G11" s="3" t="n">
        <v>53</v>
      </c>
      <c r="H11" s="3" t="n">
        <v>0</v>
      </c>
      <c r="I11" s="3" t="n">
        <f aca="false">B11-C11</f>
        <v>223</v>
      </c>
      <c r="J11" s="3" t="n">
        <f aca="false">F11+G11+H11</f>
        <v>151</v>
      </c>
      <c r="K11" s="5" t="n">
        <f aca="false">IFERROR(J11/I11,0)</f>
        <v>0.677130044843049</v>
      </c>
    </row>
    <row r="12" customFormat="false" ht="15" hidden="false" customHeight="false" outlineLevel="0" collapsed="false">
      <c r="A12" s="2" t="s">
        <v>113</v>
      </c>
      <c r="B12" s="3" t="n">
        <v>50118</v>
      </c>
      <c r="C12" s="3" t="n">
        <v>45215</v>
      </c>
      <c r="D12" s="4" t="n">
        <v>90.22</v>
      </c>
      <c r="E12" s="3" t="n">
        <v>4137</v>
      </c>
      <c r="F12" s="3" t="n">
        <v>674</v>
      </c>
      <c r="G12" s="3" t="n">
        <v>92</v>
      </c>
      <c r="H12" s="3" t="n">
        <v>0</v>
      </c>
      <c r="I12" s="3" t="n">
        <f aca="false">B12-C12</f>
        <v>4903</v>
      </c>
      <c r="J12" s="3" t="n">
        <f aca="false">F12+G12+H12</f>
        <v>766</v>
      </c>
      <c r="K12" s="5" t="n">
        <f aca="false">IFERROR(J12/I12,0)</f>
        <v>0.156230879053641</v>
      </c>
    </row>
    <row r="13" customFormat="false" ht="15" hidden="false" customHeight="false" outlineLevel="0" collapsed="false">
      <c r="A13" s="2" t="s">
        <v>114</v>
      </c>
      <c r="B13" s="3" t="n">
        <v>1306</v>
      </c>
      <c r="C13" s="3" t="n">
        <v>868</v>
      </c>
      <c r="D13" s="4" t="n">
        <v>66.46</v>
      </c>
      <c r="E13" s="3" t="n">
        <v>179</v>
      </c>
      <c r="F13" s="3" t="n">
        <v>187</v>
      </c>
      <c r="G13" s="3" t="n">
        <v>72</v>
      </c>
      <c r="H13" s="3" t="n">
        <v>0</v>
      </c>
      <c r="I13" s="3" t="n">
        <f aca="false">B13-C13</f>
        <v>438</v>
      </c>
      <c r="J13" s="3" t="n">
        <f aca="false">F13+G13+H13</f>
        <v>259</v>
      </c>
      <c r="K13" s="5" t="n">
        <f aca="false">IFERROR(J13/I13,0)</f>
        <v>0.591324200913242</v>
      </c>
    </row>
    <row r="14" customFormat="false" ht="15" hidden="false" customHeight="false" outlineLevel="0" collapsed="false">
      <c r="A14" s="2" t="s">
        <v>115</v>
      </c>
      <c r="B14" s="3" t="n">
        <v>3540</v>
      </c>
      <c r="C14" s="3" t="n">
        <v>1031</v>
      </c>
      <c r="D14" s="4" t="n">
        <v>29.12</v>
      </c>
      <c r="E14" s="3" t="n">
        <v>740</v>
      </c>
      <c r="F14" s="3" t="n">
        <v>1169</v>
      </c>
      <c r="G14" s="3" t="n">
        <v>600</v>
      </c>
      <c r="H14" s="3" t="n">
        <v>0</v>
      </c>
      <c r="I14" s="3" t="n">
        <f aca="false">B14-C14</f>
        <v>2509</v>
      </c>
      <c r="J14" s="3" t="n">
        <f aca="false">F14+G14+H14</f>
        <v>1769</v>
      </c>
      <c r="K14" s="5" t="n">
        <f aca="false">IFERROR(J14/I14,0)</f>
        <v>0.705061777600638</v>
      </c>
    </row>
    <row r="15" customFormat="false" ht="15" hidden="false" customHeight="false" outlineLevel="0" collapsed="false">
      <c r="A15" s="2" t="s">
        <v>116</v>
      </c>
      <c r="B15" s="3" t="n">
        <v>44184</v>
      </c>
      <c r="C15" s="3" t="n">
        <v>31820</v>
      </c>
      <c r="D15" s="4" t="n">
        <v>72.02</v>
      </c>
      <c r="E15" s="3" t="n">
        <v>6642</v>
      </c>
      <c r="F15" s="3" t="n">
        <v>4398</v>
      </c>
      <c r="G15" s="3" t="n">
        <v>1324</v>
      </c>
      <c r="H15" s="3" t="n">
        <v>0</v>
      </c>
      <c r="I15" s="3" t="n">
        <f aca="false">B15-C15</f>
        <v>12364</v>
      </c>
      <c r="J15" s="3" t="n">
        <f aca="false">F15+G15+H15</f>
        <v>5722</v>
      </c>
      <c r="K15" s="5" t="n">
        <f aca="false">IFERROR(J15/I15,0)</f>
        <v>0.462795211905532</v>
      </c>
    </row>
    <row r="16" customFormat="false" ht="15" hidden="false" customHeight="false" outlineLevel="0" collapsed="false">
      <c r="A16" s="2" t="s">
        <v>117</v>
      </c>
      <c r="B16" s="3" t="n">
        <v>16645</v>
      </c>
      <c r="C16" s="3" t="n">
        <v>12624</v>
      </c>
      <c r="D16" s="4" t="n">
        <v>75.84</v>
      </c>
      <c r="E16" s="3" t="n">
        <v>2392</v>
      </c>
      <c r="F16" s="3" t="n">
        <v>1200</v>
      </c>
      <c r="G16" s="3" t="n">
        <v>429</v>
      </c>
      <c r="H16" s="3" t="n">
        <v>0</v>
      </c>
      <c r="I16" s="3" t="n">
        <f aca="false">B16-C16</f>
        <v>4021</v>
      </c>
      <c r="J16" s="3" t="n">
        <f aca="false">F16+G16+H16</f>
        <v>1629</v>
      </c>
      <c r="K16" s="5" t="n">
        <f aca="false">IFERROR(J16/I16,0)</f>
        <v>0.405123103705546</v>
      </c>
    </row>
    <row r="17" customFormat="false" ht="15" hidden="false" customHeight="false" outlineLevel="0" collapsed="false">
      <c r="A17" s="2" t="s">
        <v>118</v>
      </c>
      <c r="B17" s="3" t="n">
        <v>7868</v>
      </c>
      <c r="C17" s="3" t="n">
        <v>1164</v>
      </c>
      <c r="D17" s="4" t="n">
        <v>14.79</v>
      </c>
      <c r="E17" s="3" t="n">
        <v>1864</v>
      </c>
      <c r="F17" s="3" t="n">
        <v>3787</v>
      </c>
      <c r="G17" s="3" t="n">
        <v>1053</v>
      </c>
      <c r="H17" s="3" t="n">
        <v>0</v>
      </c>
      <c r="I17" s="3" t="n">
        <f aca="false">B17-C17</f>
        <v>6704</v>
      </c>
      <c r="J17" s="3" t="n">
        <f aca="false">F17+G17+H17</f>
        <v>4840</v>
      </c>
      <c r="K17" s="5" t="n">
        <f aca="false">IFERROR(J17/I17,0)</f>
        <v>0.721957040572792</v>
      </c>
    </row>
    <row r="18" customFormat="false" ht="15" hidden="false" customHeight="false" outlineLevel="0" collapsed="false">
      <c r="A18" s="2" t="s">
        <v>119</v>
      </c>
      <c r="B18" s="3" t="n">
        <v>6070</v>
      </c>
      <c r="C18" s="3" t="n">
        <v>4983</v>
      </c>
      <c r="D18" s="4" t="n">
        <v>82.09</v>
      </c>
      <c r="E18" s="3" t="n">
        <v>553</v>
      </c>
      <c r="F18" s="3" t="n">
        <v>464</v>
      </c>
      <c r="G18" s="3" t="n">
        <v>70</v>
      </c>
      <c r="H18" s="3" t="n">
        <v>0</v>
      </c>
      <c r="I18" s="3" t="n">
        <f aca="false">B18-C18</f>
        <v>1087</v>
      </c>
      <c r="J18" s="3" t="n">
        <f aca="false">F18+G18+H18</f>
        <v>534</v>
      </c>
      <c r="K18" s="5" t="n">
        <f aca="false">IFERROR(J18/I18,0)</f>
        <v>0.491260349586017</v>
      </c>
    </row>
    <row r="19" customFormat="false" ht="15" hidden="false" customHeight="false" outlineLevel="0" collapsed="false">
      <c r="A19" s="2" t="s">
        <v>120</v>
      </c>
      <c r="B19" s="3" t="n">
        <v>26253</v>
      </c>
      <c r="C19" s="3" t="n">
        <v>20954</v>
      </c>
      <c r="D19" s="4" t="n">
        <v>79.82</v>
      </c>
      <c r="E19" s="3" t="n">
        <v>2849</v>
      </c>
      <c r="F19" s="3" t="n">
        <v>1783</v>
      </c>
      <c r="G19" s="3" t="n">
        <v>667</v>
      </c>
      <c r="H19" s="3" t="n">
        <v>0</v>
      </c>
      <c r="I19" s="3" t="n">
        <f aca="false">B19-C19</f>
        <v>5299</v>
      </c>
      <c r="J19" s="3" t="n">
        <f aca="false">F19+G19+H19</f>
        <v>2450</v>
      </c>
      <c r="K19" s="5" t="n">
        <f aca="false">IFERROR(J19/I19,0)</f>
        <v>0.462351387054161</v>
      </c>
    </row>
    <row r="20" customFormat="false" ht="15" hidden="false" customHeight="false" outlineLevel="0" collapsed="false">
      <c r="A20" s="2" t="s">
        <v>121</v>
      </c>
      <c r="B20" s="3" t="n">
        <v>93</v>
      </c>
      <c r="C20" s="3" t="n">
        <v>67</v>
      </c>
      <c r="D20" s="4" t="n">
        <v>72.04</v>
      </c>
      <c r="E20" s="3" t="n">
        <v>16</v>
      </c>
      <c r="F20" s="3" t="n">
        <v>6</v>
      </c>
      <c r="G20" s="3" t="n">
        <v>4</v>
      </c>
      <c r="H20" s="3" t="n">
        <v>0</v>
      </c>
      <c r="I20" s="3" t="n">
        <f aca="false">B20-C20</f>
        <v>26</v>
      </c>
      <c r="J20" s="3" t="n">
        <f aca="false">F20+G20+H20</f>
        <v>10</v>
      </c>
      <c r="K20" s="5" t="n">
        <f aca="false">IFERROR(J20/I20,0)</f>
        <v>0.384615384615385</v>
      </c>
    </row>
    <row r="21" customFormat="false" ht="15" hidden="false" customHeight="false" outlineLevel="0" collapsed="false">
      <c r="A21" s="2" t="s">
        <v>122</v>
      </c>
      <c r="B21" s="3" t="n">
        <v>109</v>
      </c>
      <c r="C21" s="3" t="n">
        <v>19</v>
      </c>
      <c r="D21" s="4" t="n">
        <v>17.43</v>
      </c>
      <c r="E21" s="3" t="n">
        <v>24</v>
      </c>
      <c r="F21" s="3" t="n">
        <v>52</v>
      </c>
      <c r="G21" s="3" t="n">
        <v>14</v>
      </c>
      <c r="H21" s="3" t="n">
        <v>0</v>
      </c>
      <c r="I21" s="3" t="n">
        <f aca="false">B21-C21</f>
        <v>90</v>
      </c>
      <c r="J21" s="3" t="n">
        <f aca="false">F21+G21+H21</f>
        <v>66</v>
      </c>
      <c r="K21" s="5" t="n">
        <f aca="false">IFERROR(J21/I21,0)</f>
        <v>0.733333333333333</v>
      </c>
    </row>
    <row r="22" customFormat="false" ht="15" hidden="false" customHeight="false" outlineLevel="0" collapsed="false">
      <c r="A22" s="2" t="s">
        <v>123</v>
      </c>
      <c r="B22" s="3" t="n">
        <v>239</v>
      </c>
      <c r="C22" s="3" t="n">
        <v>46</v>
      </c>
      <c r="D22" s="4" t="n">
        <v>19.25</v>
      </c>
      <c r="E22" s="3" t="n">
        <v>71</v>
      </c>
      <c r="F22" s="3" t="n">
        <v>102</v>
      </c>
      <c r="G22" s="3" t="n">
        <v>20</v>
      </c>
      <c r="H22" s="3" t="n">
        <v>0</v>
      </c>
      <c r="I22" s="3" t="n">
        <f aca="false">B22-C22</f>
        <v>193</v>
      </c>
      <c r="J22" s="3" t="n">
        <f aca="false">F22+G22+H22</f>
        <v>122</v>
      </c>
      <c r="K22" s="5" t="n">
        <f aca="false">IFERROR(J22/I22,0)</f>
        <v>0.632124352331606</v>
      </c>
    </row>
    <row r="23" customFormat="false" ht="15" hidden="false" customHeight="false" outlineLevel="0" collapsed="false">
      <c r="A23" s="2" t="s">
        <v>124</v>
      </c>
      <c r="B23" s="3" t="n">
        <v>44569</v>
      </c>
      <c r="C23" s="3" t="n">
        <v>23187</v>
      </c>
      <c r="D23" s="4" t="n">
        <v>52.02</v>
      </c>
      <c r="E23" s="3" t="n">
        <v>9099</v>
      </c>
      <c r="F23" s="3" t="n">
        <v>9418</v>
      </c>
      <c r="G23" s="3" t="n">
        <v>2865</v>
      </c>
      <c r="H23" s="3" t="n">
        <v>0</v>
      </c>
      <c r="I23" s="3" t="n">
        <f aca="false">B23-C23</f>
        <v>21382</v>
      </c>
      <c r="J23" s="3" t="n">
        <f aca="false">F23+G23+H23</f>
        <v>12283</v>
      </c>
      <c r="K23" s="5" t="n">
        <f aca="false">IFERROR(J23/I23,0)</f>
        <v>0.574455149190908</v>
      </c>
    </row>
    <row r="24" customFormat="false" ht="15" hidden="false" customHeight="false" outlineLevel="0" collapsed="false">
      <c r="A24" s="2" t="s">
        <v>125</v>
      </c>
      <c r="B24" s="3" t="n">
        <v>584</v>
      </c>
      <c r="C24" s="3" t="n">
        <v>14</v>
      </c>
      <c r="D24" s="4" t="n">
        <v>2.4</v>
      </c>
      <c r="E24" s="3" t="n">
        <v>235</v>
      </c>
      <c r="F24" s="3" t="n">
        <v>216</v>
      </c>
      <c r="G24" s="3" t="n">
        <v>119</v>
      </c>
      <c r="H24" s="3" t="n">
        <v>0</v>
      </c>
      <c r="I24" s="3" t="n">
        <f aca="false">B24-C24</f>
        <v>570</v>
      </c>
      <c r="J24" s="3" t="n">
        <f aca="false">F24+G24+H24</f>
        <v>335</v>
      </c>
      <c r="K24" s="5" t="n">
        <f aca="false">IFERROR(J24/I24,0)</f>
        <v>0.587719298245614</v>
      </c>
    </row>
    <row r="25" customFormat="false" ht="15" hidden="false" customHeight="false" outlineLevel="0" collapsed="false">
      <c r="A25" s="2" t="s">
        <v>126</v>
      </c>
      <c r="B25" s="3" t="n">
        <v>39454</v>
      </c>
      <c r="C25" s="3" t="n">
        <v>28331</v>
      </c>
      <c r="D25" s="4" t="n">
        <v>71.81</v>
      </c>
      <c r="E25" s="3" t="n">
        <v>6994</v>
      </c>
      <c r="F25" s="3" t="n">
        <v>3311</v>
      </c>
      <c r="G25" s="3" t="n">
        <v>818</v>
      </c>
      <c r="H25" s="3" t="n">
        <v>0</v>
      </c>
      <c r="I25" s="3" t="n">
        <f aca="false">B25-C25</f>
        <v>11123</v>
      </c>
      <c r="J25" s="3" t="n">
        <f aca="false">F25+G25+H25</f>
        <v>4129</v>
      </c>
      <c r="K25" s="5" t="n">
        <f aca="false">IFERROR(J25/I25,0)</f>
        <v>0.371212802301537</v>
      </c>
    </row>
    <row r="26" customFormat="false" ht="15" hidden="false" customHeight="false" outlineLevel="0" collapsed="false">
      <c r="A26" s="2" t="s">
        <v>127</v>
      </c>
      <c r="B26" s="3" t="n">
        <v>129</v>
      </c>
      <c r="C26" s="3" t="n">
        <v>103</v>
      </c>
      <c r="D26" s="4" t="n">
        <v>79.84</v>
      </c>
      <c r="E26" s="3" t="n">
        <v>23</v>
      </c>
      <c r="F26" s="3" t="n">
        <v>2</v>
      </c>
      <c r="G26" s="3" t="n">
        <v>1</v>
      </c>
      <c r="H26" s="3" t="n">
        <v>0</v>
      </c>
      <c r="I26" s="3" t="n">
        <f aca="false">B26-C26</f>
        <v>26</v>
      </c>
      <c r="J26" s="3" t="n">
        <f aca="false">F26+G26+H26</f>
        <v>3</v>
      </c>
      <c r="K26" s="5" t="n">
        <f aca="false">IFERROR(J26/I26,0)</f>
        <v>0.115384615384615</v>
      </c>
    </row>
    <row r="27" customFormat="false" ht="15" hidden="false" customHeight="false" outlineLevel="0" collapsed="false">
      <c r="A27" s="2" t="s">
        <v>128</v>
      </c>
      <c r="B27" s="3" t="n">
        <v>125</v>
      </c>
      <c r="C27" s="3" t="n">
        <v>12</v>
      </c>
      <c r="D27" s="4" t="n">
        <v>9.6</v>
      </c>
      <c r="E27" s="3" t="n">
        <v>33</v>
      </c>
      <c r="F27" s="3" t="n">
        <v>56</v>
      </c>
      <c r="G27" s="3" t="n">
        <v>24</v>
      </c>
      <c r="H27" s="3" t="n">
        <v>0</v>
      </c>
      <c r="I27" s="3" t="n">
        <f aca="false">B27-C27</f>
        <v>113</v>
      </c>
      <c r="J27" s="3" t="n">
        <f aca="false">F27+G27+H27</f>
        <v>80</v>
      </c>
      <c r="K27" s="5" t="n">
        <f aca="false">IFERROR(J27/I27,0)</f>
        <v>0.707964601769912</v>
      </c>
    </row>
    <row r="28" customFormat="false" ht="15" hidden="false" customHeight="false" outlineLevel="0" collapsed="false">
      <c r="A28" s="2" t="s">
        <v>129</v>
      </c>
      <c r="B28" s="3" t="n">
        <v>13970</v>
      </c>
      <c r="C28" s="3" t="n">
        <v>8139</v>
      </c>
      <c r="D28" s="4" t="n">
        <v>58.26</v>
      </c>
      <c r="E28" s="3" t="n">
        <v>3175</v>
      </c>
      <c r="F28" s="3" t="n">
        <v>1924</v>
      </c>
      <c r="G28" s="3" t="n">
        <v>732</v>
      </c>
      <c r="H28" s="3" t="n">
        <v>0</v>
      </c>
      <c r="I28" s="3" t="n">
        <f aca="false">B28-C28</f>
        <v>5831</v>
      </c>
      <c r="J28" s="3" t="n">
        <f aca="false">F28+G28+H28</f>
        <v>2656</v>
      </c>
      <c r="K28" s="5" t="n">
        <f aca="false">IFERROR(J28/I28,0)</f>
        <v>0.455496484308009</v>
      </c>
    </row>
    <row r="29" customFormat="false" ht="15" hidden="false" customHeight="false" outlineLevel="0" collapsed="false">
      <c r="A29" s="2" t="s">
        <v>130</v>
      </c>
      <c r="B29" s="3" t="n">
        <v>15561</v>
      </c>
      <c r="C29" s="3" t="n">
        <v>9616</v>
      </c>
      <c r="D29" s="4" t="n">
        <v>61.8</v>
      </c>
      <c r="E29" s="3" t="n">
        <v>2401</v>
      </c>
      <c r="F29" s="3" t="n">
        <v>2572</v>
      </c>
      <c r="G29" s="3" t="n">
        <v>972</v>
      </c>
      <c r="H29" s="3" t="n">
        <v>0</v>
      </c>
      <c r="I29" s="3" t="n">
        <f aca="false">B29-C29</f>
        <v>5945</v>
      </c>
      <c r="J29" s="3" t="n">
        <f aca="false">F29+G29+H29</f>
        <v>3544</v>
      </c>
      <c r="K29" s="5" t="n">
        <f aca="false">IFERROR(J29/I29,0)</f>
        <v>0.596131202691337</v>
      </c>
    </row>
    <row r="30" customFormat="false" ht="15" hidden="false" customHeight="false" outlineLevel="0" collapsed="false">
      <c r="A30" s="2" t="s">
        <v>131</v>
      </c>
      <c r="B30" s="3" t="n">
        <v>1655</v>
      </c>
      <c r="C30" s="3" t="n">
        <v>1400</v>
      </c>
      <c r="D30" s="4" t="n">
        <v>84.59</v>
      </c>
      <c r="E30" s="3" t="n">
        <v>209</v>
      </c>
      <c r="F30" s="3" t="n">
        <v>34</v>
      </c>
      <c r="G30" s="3" t="n">
        <v>12</v>
      </c>
      <c r="H30" s="3" t="n">
        <v>0</v>
      </c>
      <c r="I30" s="3" t="n">
        <f aca="false">B30-C30</f>
        <v>255</v>
      </c>
      <c r="J30" s="3" t="n">
        <f aca="false">F30+G30+H30</f>
        <v>46</v>
      </c>
      <c r="K30" s="5" t="n">
        <f aca="false">IFERROR(J30/I30,0)</f>
        <v>0.180392156862745</v>
      </c>
    </row>
    <row r="31" customFormat="false" ht="15" hidden="false" customHeight="false" outlineLevel="0" collapsed="false">
      <c r="A31" s="2" t="s">
        <v>132</v>
      </c>
      <c r="B31" s="3" t="n">
        <v>38979</v>
      </c>
      <c r="C31" s="3" t="n">
        <v>35421</v>
      </c>
      <c r="D31" s="4" t="n">
        <v>90.87</v>
      </c>
      <c r="E31" s="3" t="n">
        <v>3046</v>
      </c>
      <c r="F31" s="3" t="n">
        <v>278</v>
      </c>
      <c r="G31" s="3" t="n">
        <v>234</v>
      </c>
      <c r="H31" s="3" t="n">
        <v>0</v>
      </c>
      <c r="I31" s="3" t="n">
        <f aca="false">B31-C31</f>
        <v>3558</v>
      </c>
      <c r="J31" s="3" t="n">
        <f aca="false">F31+G31+H31</f>
        <v>512</v>
      </c>
      <c r="K31" s="5" t="n">
        <f aca="false">IFERROR(J31/I31,0)</f>
        <v>0.143901068015739</v>
      </c>
    </row>
    <row r="32" customFormat="false" ht="15" hidden="false" customHeight="false" outlineLevel="0" collapsed="false">
      <c r="A32" s="2" t="s">
        <v>133</v>
      </c>
      <c r="B32" s="3" t="n">
        <v>144</v>
      </c>
      <c r="C32" s="3" t="n">
        <v>104</v>
      </c>
      <c r="D32" s="4" t="n">
        <v>72.22</v>
      </c>
      <c r="E32" s="3" t="n">
        <v>22</v>
      </c>
      <c r="F32" s="3" t="n">
        <v>17</v>
      </c>
      <c r="G32" s="3" t="n">
        <v>1</v>
      </c>
      <c r="H32" s="3" t="n">
        <v>0</v>
      </c>
      <c r="I32" s="3" t="n">
        <f aca="false">B32-C32</f>
        <v>40</v>
      </c>
      <c r="J32" s="3" t="n">
        <f aca="false">F32+G32+H32</f>
        <v>18</v>
      </c>
      <c r="K32" s="5" t="n">
        <f aca="false">IFERROR(J32/I32,0)</f>
        <v>0.45</v>
      </c>
    </row>
    <row r="33" customFormat="false" ht="15" hidden="false" customHeight="false" outlineLevel="0" collapsed="false">
      <c r="A33" s="2" t="s">
        <v>134</v>
      </c>
      <c r="B33" s="3" t="n">
        <v>9390</v>
      </c>
      <c r="C33" s="3" t="n">
        <v>9111</v>
      </c>
      <c r="D33" s="4" t="n">
        <v>97.03</v>
      </c>
      <c r="E33" s="3" t="n">
        <v>266</v>
      </c>
      <c r="F33" s="3" t="n">
        <v>8</v>
      </c>
      <c r="G33" s="3" t="n">
        <v>5</v>
      </c>
      <c r="H33" s="3" t="n">
        <v>0</v>
      </c>
      <c r="I33" s="3" t="n">
        <f aca="false">B33-C33</f>
        <v>279</v>
      </c>
      <c r="J33" s="3" t="n">
        <f aca="false">F33+G33+H33</f>
        <v>13</v>
      </c>
      <c r="K33" s="5" t="n">
        <f aca="false">IFERROR(J33/I33,0)</f>
        <v>0.0465949820788531</v>
      </c>
    </row>
    <row r="34" customFormat="false" ht="15" hidden="false" customHeight="false" outlineLevel="0" collapsed="false">
      <c r="A34" s="2" t="s">
        <v>135</v>
      </c>
      <c r="B34" s="3" t="n">
        <v>24104</v>
      </c>
      <c r="C34" s="3" t="n">
        <v>16476</v>
      </c>
      <c r="D34" s="4" t="n">
        <v>68.35</v>
      </c>
      <c r="E34" s="3" t="n">
        <v>3776</v>
      </c>
      <c r="F34" s="3" t="n">
        <v>2828</v>
      </c>
      <c r="G34" s="3" t="n">
        <v>1024</v>
      </c>
      <c r="H34" s="3" t="n">
        <v>0</v>
      </c>
      <c r="I34" s="3" t="n">
        <f aca="false">B34-C34</f>
        <v>7628</v>
      </c>
      <c r="J34" s="3" t="n">
        <f aca="false">F34+G34+H34</f>
        <v>3852</v>
      </c>
      <c r="K34" s="5" t="n">
        <f aca="false">IFERROR(J34/I34,0)</f>
        <v>0.504981646565286</v>
      </c>
    </row>
    <row r="35" customFormat="false" ht="15" hidden="false" customHeight="false" outlineLevel="0" collapsed="false">
      <c r="A35" s="2" t="s">
        <v>136</v>
      </c>
      <c r="B35" s="3" t="n">
        <v>1555</v>
      </c>
      <c r="C35" s="3" t="n">
        <v>1247</v>
      </c>
      <c r="D35" s="4" t="n">
        <v>80.19</v>
      </c>
      <c r="E35" s="3" t="n">
        <v>201</v>
      </c>
      <c r="F35" s="3" t="n">
        <v>78</v>
      </c>
      <c r="G35" s="3" t="n">
        <v>29</v>
      </c>
      <c r="H35" s="3" t="n">
        <v>0</v>
      </c>
      <c r="I35" s="3" t="n">
        <f aca="false">B35-C35</f>
        <v>308</v>
      </c>
      <c r="J35" s="3" t="n">
        <f aca="false">F35+G35+H35</f>
        <v>107</v>
      </c>
      <c r="K35" s="5" t="n">
        <f aca="false">IFERROR(J35/I35,0)</f>
        <v>0.347402597402597</v>
      </c>
    </row>
    <row r="36" customFormat="false" ht="15" hidden="false" customHeight="false" outlineLevel="0" collapsed="false">
      <c r="A36" s="2" t="s">
        <v>137</v>
      </c>
      <c r="B36" s="3" t="n">
        <v>12652</v>
      </c>
      <c r="C36" s="3" t="n">
        <v>11578</v>
      </c>
      <c r="D36" s="4" t="n">
        <v>91.51</v>
      </c>
      <c r="E36" s="3" t="n">
        <v>862</v>
      </c>
      <c r="F36" s="3" t="n">
        <v>145</v>
      </c>
      <c r="G36" s="3" t="n">
        <v>67</v>
      </c>
      <c r="H36" s="3" t="n">
        <v>0</v>
      </c>
      <c r="I36" s="3" t="n">
        <f aca="false">B36-C36</f>
        <v>1074</v>
      </c>
      <c r="J36" s="3" t="n">
        <f aca="false">F36+G36+H36</f>
        <v>212</v>
      </c>
      <c r="K36" s="5" t="n">
        <f aca="false">IFERROR(J36/I36,0)</f>
        <v>0.197392923649907</v>
      </c>
    </row>
    <row r="37" customFormat="false" ht="15" hidden="false" customHeight="false" outlineLevel="0" collapsed="false">
      <c r="A37" s="2" t="s">
        <v>138</v>
      </c>
      <c r="B37" s="3" t="n">
        <v>254518</v>
      </c>
      <c r="C37" s="3" t="n">
        <v>222686</v>
      </c>
      <c r="D37" s="4" t="n">
        <v>87.49</v>
      </c>
      <c r="E37" s="3" t="n">
        <v>29599</v>
      </c>
      <c r="F37" s="3" t="n">
        <v>1687</v>
      </c>
      <c r="G37" s="3" t="n">
        <v>546</v>
      </c>
      <c r="H37" s="3" t="n">
        <v>0</v>
      </c>
      <c r="I37" s="3" t="n">
        <f aca="false">B37-C37</f>
        <v>31832</v>
      </c>
      <c r="J37" s="3" t="n">
        <f aca="false">F37+G37+H37</f>
        <v>2233</v>
      </c>
      <c r="K37" s="5" t="n">
        <f aca="false">IFERROR(J37/I37,0)</f>
        <v>0.0701495350590601</v>
      </c>
    </row>
    <row r="38" customFormat="false" ht="15" hidden="false" customHeight="false" outlineLevel="0" collapsed="false">
      <c r="A38" s="2" t="s">
        <v>139</v>
      </c>
      <c r="B38" s="3" t="n">
        <v>21235</v>
      </c>
      <c r="C38" s="3" t="n">
        <v>3110</v>
      </c>
      <c r="D38" s="4" t="n">
        <v>14.65</v>
      </c>
      <c r="E38" s="3" t="n">
        <v>7867</v>
      </c>
      <c r="F38" s="3" t="n">
        <v>9187</v>
      </c>
      <c r="G38" s="3" t="n">
        <v>1071</v>
      </c>
      <c r="H38" s="3" t="n">
        <v>0</v>
      </c>
      <c r="I38" s="3" t="n">
        <f aca="false">B38-C38</f>
        <v>18125</v>
      </c>
      <c r="J38" s="3" t="n">
        <f aca="false">F38+G38+H38</f>
        <v>10258</v>
      </c>
      <c r="K38" s="5" t="n">
        <f aca="false">IFERROR(J38/I38,0)</f>
        <v>0.565958620689655</v>
      </c>
    </row>
    <row r="39" customFormat="false" ht="15" hidden="false" customHeight="false" outlineLevel="0" collapsed="false">
      <c r="A39" s="6" t="s">
        <v>101</v>
      </c>
      <c r="B39" s="7" t="n">
        <f aca="false">SUM(B2:B38)</f>
        <v>751518</v>
      </c>
      <c r="C39" s="7" t="n">
        <f aca="false">SUM(C2:C38)</f>
        <v>562581</v>
      </c>
      <c r="D39" s="8" t="n">
        <f aca="false">IFERROR(C39/B39*100,0)</f>
        <v>74.8592848075495</v>
      </c>
      <c r="E39" s="7" t="n">
        <f aca="false">SUM(E2:E38)</f>
        <v>112100</v>
      </c>
      <c r="F39" s="7" t="n">
        <f aca="false">SUM(F2:F38)</f>
        <v>60921</v>
      </c>
      <c r="G39" s="7" t="n">
        <f aca="false">SUM(G2:G38)</f>
        <v>15916</v>
      </c>
      <c r="H39" s="7" t="n">
        <f aca="false">SUM(H2:H38)</f>
        <v>0</v>
      </c>
      <c r="I39" s="7" t="n">
        <f aca="false">SUM(I2:I38)</f>
        <v>188937</v>
      </c>
      <c r="J39" s="7" t="n">
        <f aca="false">SUM(J2:J38)</f>
        <v>76837</v>
      </c>
      <c r="K39" s="9" t="n">
        <f aca="false">IFERROR(J39/I39,0)</f>
        <v>0.406680533722881</v>
      </c>
    </row>
  </sheetData>
  <autoFilter ref="A1:K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0" t="s">
        <v>140</v>
      </c>
    </row>
    <row r="3" customFormat="false" ht="15" hidden="false" customHeight="false" outlineLevel="0" collapsed="false">
      <c r="A3" s="11" t="s">
        <v>141</v>
      </c>
    </row>
    <row r="4" customFormat="false" ht="15" hidden="false" customHeight="false" outlineLevel="0" collapsed="false">
      <c r="A4" s="12" t="s">
        <v>142</v>
      </c>
    </row>
    <row r="5" customFormat="false" ht="15" hidden="false" customHeight="false" outlineLevel="0" collapsed="false">
      <c r="A5" s="12" t="s">
        <v>143</v>
      </c>
    </row>
    <row r="7" customFormat="false" ht="15" hidden="false" customHeight="false" outlineLevel="0" collapsed="false">
      <c r="A7" s="11" t="s">
        <v>144</v>
      </c>
    </row>
    <row r="8" customFormat="false" ht="15" hidden="false" customHeight="false" outlineLevel="0" collapsed="false">
      <c r="A8" s="12" t="s">
        <v>145</v>
      </c>
    </row>
    <row r="9" customFormat="false" ht="15" hidden="false" customHeight="false" outlineLevel="0" collapsed="false">
      <c r="A9" s="12" t="s">
        <v>146</v>
      </c>
    </row>
    <row r="10" customFormat="false" ht="15" hidden="false" customHeight="false" outlineLevel="0" collapsed="false">
      <c r="A10" s="12" t="s">
        <v>147</v>
      </c>
    </row>
    <row r="12" customFormat="false" ht="15" hidden="false" customHeight="false" outlineLevel="0" collapsed="false">
      <c r="A12" s="12" t="s">
        <v>148</v>
      </c>
    </row>
    <row r="13" customFormat="false" ht="15" hidden="false" customHeight="false" outlineLevel="0" collapsed="false">
      <c r="A13" s="1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2026-09-28T19:53:27Z</dcterms:created>
  <dc:creator>openpyxl</dc:creator>
  <dc:description/>
  <dc:language>en-US</dc:language>
  <cp:lastModifiedBy/>
  <dcterms:modified xsi:type="dcterms:W3CDTF">2026-09-28T19:53:27Z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